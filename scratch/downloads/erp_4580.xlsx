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hiftActivity\Daily Report\Report 2025\May2025\"/>
    </mc:Choice>
  </mc:AlternateContent>
  <xr:revisionPtr revIDLastSave="0" documentId="13_ncr:1_{8097DFE8-3FBC-4BD6-B8D4-B5D606FEBA9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recast" sheetId="1" r:id="rId1"/>
    <sheet name="GenLog" sheetId="2" r:id="rId2"/>
    <sheet name="P1" sheetId="3" r:id="rId3"/>
    <sheet name="P2" sheetId="4" r:id="rId4"/>
    <sheet name="P3" sheetId="5" r:id="rId5"/>
    <sheet name="P4" sheetId="6" r:id="rId6"/>
    <sheet name="L-Curve" sheetId="7" r:id="rId7"/>
    <sheet name="En-Curve" sheetId="8" r:id="rId8"/>
    <sheet name="Voltage" sheetId="9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DataEvening" localSheetId="2">#REF!,#REF!</definedName>
    <definedName name="DataEvening" localSheetId="3">[2]GEntry!$B$17:$DA$30,[2]GEntry!$DM$17:$FN$30</definedName>
    <definedName name="DataEvening" localSheetId="4">[4]GEntry!$B$17:$DA$30,[4]GEntry!$DM$17:$FN$30</definedName>
    <definedName name="DataEvening" localSheetId="5">[2]GEntry!$B$17:$DA$30,[2]GEntry!$DM$17:$FN$30</definedName>
    <definedName name="DataEvening">#REF!,#REF!</definedName>
    <definedName name="DataMorning" localSheetId="2">#REF!,#REF!,#REF!,#REF!</definedName>
    <definedName name="DataMorning" localSheetId="3">[2]GEntry!$B$4:$CZ$10,[2]GEntry!#REF!,[2]GEntry!#REF!,[2]GEntry!$DM$4:$FN$10</definedName>
    <definedName name="DataMorning" localSheetId="4">[4]GEntry!$B$4:$CZ$10,[4]GEntry!#REF!,[4]GEntry!#REF!,[4]GEntry!$DM$4:$FN$10</definedName>
    <definedName name="DataMorning" localSheetId="5">[2]GEntry!$B$4:$CZ$10,[2]GEntry!#REF!,[2]GEntry!#REF!,[2]GEntry!$DM$4:$FN$10</definedName>
    <definedName name="DataMorning">#REF!,#REF!,#REF!,#REF!</definedName>
    <definedName name="Evening" localSheetId="2">#REF!,#REF!</definedName>
    <definedName name="Evening" localSheetId="3">[3]GEntry!$B$18:$DJ$31,[3]GEntry!$DL$18:$FN$31</definedName>
    <definedName name="Evening" localSheetId="4">[3]GEntry!$B$18:$DJ$31,[3]GEntry!$DL$18:$FN$31</definedName>
    <definedName name="Evening" localSheetId="5">[3]GEntry!$B$18:$DJ$31,[3]GEntry!$DL$18:$FN$31</definedName>
    <definedName name="Evening">#REF!,#REF!</definedName>
    <definedName name="Morning" localSheetId="3">[3]GEntry!$DL$5:$FN$11,[3]GEntry!$B$5:$DJ$11</definedName>
    <definedName name="Morning" localSheetId="4">[3]GEntry!$DL$5:$FN$11,[3]GEntry!$B$5:$DJ$11</definedName>
    <definedName name="Morning" localSheetId="5">[3]GEntry!$DL$5:$FN$11,[3]GEntry!$B$5:$DJ$11</definedName>
    <definedName name="Morning">#REF!,#REF!</definedName>
    <definedName name="NamedRange1">#REF!</definedName>
    <definedName name="_xlnm.Print_Area" localSheetId="7">'En-Curve'!$R$1:$Z$52</definedName>
    <definedName name="_xlnm.Print_Area" localSheetId="0">Forecast!$A$1:$O$253</definedName>
    <definedName name="_xlnm.Print_Area" localSheetId="1">GenLog!$A$1:$FY$42</definedName>
    <definedName name="_xlnm.Print_Area" localSheetId="6">'L-Curve'!$F$1:$N$46</definedName>
    <definedName name="_xlnm.Print_Area" localSheetId="2">'P1'!$A$1:$M$237</definedName>
    <definedName name="_xlnm.Print_Area" localSheetId="3">'P2'!$A$1:$J$183</definedName>
    <definedName name="_xlnm.Print_Area" localSheetId="4">'P3'!$B$1:$M$94</definedName>
    <definedName name="_xlnm.Print_Area" localSheetId="5">'P4'!$A$1:$I$41</definedName>
    <definedName name="_xlnm.Print_Titles" localSheetId="0">Forecast!1:6</definedName>
    <definedName name="_xlnm.Print_Titles" localSheetId="1">GenLog!$A:$A</definedName>
    <definedName name="_xlnm.Print_Titles" localSheetId="2">'P1'!1:6</definedName>
    <definedName name="_xlnm.Print_Titles" localSheetId="3">'P2'!1:10</definedName>
    <definedName name="_xlnm.Print_Titles" localSheetId="8">Voltage!1:6</definedName>
    <definedName name="Seven2Thirteen" localSheetId="2">#REF!,#REF!</definedName>
    <definedName name="Seven2Thirteen" localSheetId="3">[3]GEntry!$B$11:$DJ$17,[3]GEntry!$DL$11:$FN$17</definedName>
    <definedName name="Seven2Thirteen" localSheetId="4">[3]GEntry!$B$11:$DJ$17,[3]GEntry!$DL$11:$FN$17</definedName>
    <definedName name="Seven2Thirteen" localSheetId="5">[3]GEntry!$B$11:$DJ$17,[3]GEntry!$DL$11:$FN$17</definedName>
    <definedName name="Seven2Thirteen">#REF!,#REF!</definedName>
    <definedName name="Twenty4Hrs" localSheetId="2">#REF!,#REF!</definedName>
    <definedName name="Twenty4Hrs" localSheetId="3">[2]GEntry!$B$4:$DA$37,[2]GEntry!$DM$4:$FN$33</definedName>
    <definedName name="Twenty4Hrs" localSheetId="4">[4]GEntry!$B$4:$DA$37,[4]GEntry!$DM$4:$FN$33</definedName>
    <definedName name="Twenty4Hrs" localSheetId="5">[2]GEntry!$B$4:$DA$37,[2]GEntry!$DM$4:$FN$33</definedName>
    <definedName name="Twenty4Hr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" i="2" l="1"/>
  <c r="CK2" i="2"/>
  <c r="DO2" i="2"/>
  <c r="ES2" i="2"/>
  <c r="FW2" i="2"/>
  <c r="AL4" i="2"/>
  <c r="BP4" i="2"/>
  <c r="CT4" i="2"/>
  <c r="DX4" i="2"/>
  <c r="FB4" i="2"/>
  <c r="BE7" i="2"/>
  <c r="CI7" i="2"/>
  <c r="DM7" i="2"/>
  <c r="EQ7" i="2"/>
  <c r="FU7" i="2"/>
  <c r="BE8" i="2"/>
  <c r="CI8" i="2"/>
  <c r="DM8" i="2"/>
  <c r="EQ8" i="2"/>
  <c r="FU8" i="2"/>
  <c r="J107" i="1"/>
  <c r="J8" i="1"/>
  <c r="L8" i="1" s="1"/>
  <c r="L107" i="1" s="1"/>
</calcChain>
</file>

<file path=xl/sharedStrings.xml><?xml version="1.0" encoding="utf-8"?>
<sst xmlns="http://schemas.openxmlformats.org/spreadsheetml/2006/main" count="3949" uniqueCount="1229">
  <si>
    <t>Power Grid Bangladesh PLC</t>
  </si>
  <si>
    <t>National Load Dispatch Center (NLDC)</t>
  </si>
  <si>
    <t>Forecasted Generation &amp; Demand of National Grid</t>
  </si>
  <si>
    <t>Date :</t>
  </si>
  <si>
    <t>12-05-2025</t>
  </si>
  <si>
    <t>Sl.</t>
  </si>
  <si>
    <t>Name of the
 Power Station</t>
  </si>
  <si>
    <t>Fuel</t>
  </si>
  <si>
    <t xml:space="preserve">Producer </t>
  </si>
  <si>
    <t>Installed Capacity</t>
  </si>
  <si>
    <t>Present Capacity</t>
  </si>
  <si>
    <t>Actual Generation on</t>
  </si>
  <si>
    <t>Forecasted Available Gen. on</t>
  </si>
  <si>
    <t>Effective Available Gen. on</t>
  </si>
  <si>
    <t>Remarks</t>
  </si>
  <si>
    <t>11-05-2025</t>
  </si>
  <si>
    <t>during</t>
  </si>
  <si>
    <t>Day Peak</t>
  </si>
  <si>
    <t>Ev. Peak</t>
  </si>
  <si>
    <t>Unit No. X Capacity</t>
  </si>
  <si>
    <t>MW</t>
  </si>
  <si>
    <t>1</t>
  </si>
  <si>
    <t>Ghorasal Repowered CCPP Unit-3</t>
  </si>
  <si>
    <t>Gas</t>
  </si>
  <si>
    <t>PDB</t>
  </si>
  <si>
    <t>1*260</t>
  </si>
  <si>
    <t>GT is under maintenance</t>
  </si>
  <si>
    <t>2</t>
  </si>
  <si>
    <t>Ghorasal Repowered CCPP Unit-4</t>
  </si>
  <si>
    <t>1*210</t>
  </si>
  <si>
    <t>Allocation limit by Titas Gas</t>
  </si>
  <si>
    <t>Ghorasal TPP Unit-5</t>
  </si>
  <si>
    <t>3</t>
  </si>
  <si>
    <t>Ghorasal 365 MW CCPP Unit-7</t>
  </si>
  <si>
    <t>1*243+1*122</t>
  </si>
  <si>
    <t>Gas shortage</t>
  </si>
  <si>
    <t>4</t>
  </si>
  <si>
    <t>Ghorashal 108 MW PP (Regent)</t>
  </si>
  <si>
    <t>IPP</t>
  </si>
  <si>
    <t>34*3.35</t>
  </si>
  <si>
    <t>Gas restriction by titas</t>
  </si>
  <si>
    <t>5</t>
  </si>
  <si>
    <t>Haripur GTPP</t>
  </si>
  <si>
    <t>SBU,PDB</t>
  </si>
  <si>
    <t>32*2</t>
  </si>
  <si>
    <t>-</t>
  </si>
  <si>
    <t>6</t>
  </si>
  <si>
    <t>Haripur  412 MW CCPP</t>
  </si>
  <si>
    <t>EGCB</t>
  </si>
  <si>
    <t>1*273+1*139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</si>
  <si>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</si>
  <si>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</si>
  <si>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</si>
  <si>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</si>
  <si>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</si>
  <si>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</si>
  <si>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</si>
  <si>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</si>
  <si>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</si>
  <si>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FGMO</t>
  </si>
  <si>
    <t>9</t>
  </si>
  <si>
    <t>Madanganj-55 MW PP(Summit)</t>
  </si>
  <si>
    <t>HFO</t>
  </si>
  <si>
    <t>3*17+1*11.3</t>
  </si>
  <si>
    <t>10</t>
  </si>
  <si>
    <t>Keraniganj 100 MW PP (Powerpac)</t>
  </si>
  <si>
    <t>QRPP</t>
  </si>
  <si>
    <t>8*13.45</t>
  </si>
  <si>
    <t>11</t>
  </si>
  <si>
    <t>Narshingdi 22 MW PP  (Doreen)</t>
  </si>
  <si>
    <t>SIPP,REB</t>
  </si>
  <si>
    <t>8*2.90</t>
  </si>
  <si>
    <t>12</t>
  </si>
  <si>
    <t>Siddhirgonj 210 MW TPP</t>
  </si>
  <si>
    <t>Under Major Overhauling</t>
  </si>
  <si>
    <t>13</t>
  </si>
  <si>
    <t>Siddhirgonj 2*120 MW GTPP</t>
  </si>
  <si>
    <t>2*105</t>
  </si>
  <si>
    <t>Gas shortage+ internal problem at TITAS RMS</t>
  </si>
  <si>
    <t>14</t>
  </si>
  <si>
    <t>Siddhirganj 335 MW CCPP</t>
  </si>
  <si>
    <t>1*217+118</t>
  </si>
  <si>
    <t>15</t>
  </si>
  <si>
    <t>Gagnagar 102 MW PP (Digital Power)</t>
  </si>
  <si>
    <t>12*8.924</t>
  </si>
  <si>
    <t>Liquid fuel shortage</t>
  </si>
  <si>
    <t>17</t>
  </si>
  <si>
    <t>Kamalaghat 54 MW PP(Banco Energy)</t>
  </si>
  <si>
    <t>3*18</t>
  </si>
  <si>
    <t>18</t>
  </si>
  <si>
    <t>Kodda 150 MW PP B-R</t>
  </si>
  <si>
    <t>PDB-RPCL</t>
  </si>
  <si>
    <t>9*17.06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</si>
  <si>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</si>
  <si>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</si>
  <si>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</si>
  <si>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</si>
  <si>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</si>
  <si>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</si>
  <si>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Low gas pressure</t>
  </si>
  <si>
    <t>Summit Power Madhabdi</t>
  </si>
  <si>
    <t>3*3.67+4*8.73</t>
  </si>
  <si>
    <t>23</t>
  </si>
  <si>
    <t>Maona 33 MW PP(Summit)</t>
  </si>
  <si>
    <t>4*8.73</t>
  </si>
  <si>
    <t>24</t>
  </si>
  <si>
    <t>Rupganj 33 MW PP(Summit)</t>
  </si>
  <si>
    <t>25</t>
  </si>
  <si>
    <t>Gazipur 52 MW PP</t>
  </si>
  <si>
    <t>RPCL</t>
  </si>
  <si>
    <t>6*8.9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</si>
  <si>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</si>
  <si>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</si>
  <si>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</si>
  <si>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</si>
  <si>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</si>
  <si>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</si>
  <si>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</si>
  <si>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</si>
  <si>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</si>
  <si>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</si>
  <si>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Engine Problem</t>
  </si>
  <si>
    <t>29</t>
  </si>
  <si>
    <t>Gazipur 100 MW PP</t>
  </si>
  <si>
    <t>6*17.5</t>
  </si>
  <si>
    <t>Fuel Oil (HFO) Shortage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</si>
  <si>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</si>
  <si>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</si>
  <si>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</si>
  <si>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</si>
  <si>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</si>
  <si>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</si>
  <si>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</si>
  <si>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</si>
  <si>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Solar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</si>
  <si>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</si>
  <si>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</si>
  <si>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</si>
  <si>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</si>
  <si>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</si>
  <si>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</si>
  <si>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</si>
  <si>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Gas/HSD</t>
  </si>
  <si>
    <t>JERA Meghnaghat Power Limited</t>
  </si>
  <si>
    <t>250*2+268</t>
  </si>
  <si>
    <t>Sreepur 150 MW PP</t>
  </si>
  <si>
    <t>Dhaka Area Total</t>
  </si>
  <si>
    <t>36</t>
  </si>
  <si>
    <t>Chattogram TPP</t>
  </si>
  <si>
    <t>1*210+1*210</t>
  </si>
  <si>
    <t>Both units are under maintenance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</si>
  <si>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</si>
  <si>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</si>
  <si>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</si>
  <si>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</si>
  <si>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</si>
  <si>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</si>
  <si>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</si>
  <si>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</si>
  <si>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40</t>
  </si>
  <si>
    <t>Karnaphuli Hydro PP Unit-1,2,3,4, 5</t>
  </si>
  <si>
    <t>Hydro</t>
  </si>
  <si>
    <t>2*40+3*50</t>
  </si>
  <si>
    <t>41</t>
  </si>
  <si>
    <t>Sikalbaha 225MW CCPP</t>
  </si>
  <si>
    <t>1*150+1*75</t>
  </si>
  <si>
    <t>42</t>
  </si>
  <si>
    <t>Sikalbaha Peaking GT</t>
  </si>
  <si>
    <t>1*150</t>
  </si>
  <si>
    <t>43</t>
  </si>
  <si>
    <t>Sikalbaha 105 MW PP (Baraka Sikalbaha)</t>
  </si>
  <si>
    <t>44</t>
  </si>
  <si>
    <t>Hathazari 100 MW peaking PP</t>
  </si>
  <si>
    <t>11*8.9</t>
  </si>
  <si>
    <t>machine problem</t>
  </si>
  <si>
    <t>45</t>
  </si>
  <si>
    <t>Dohazari -Kalaish 100 MW Peaking</t>
  </si>
  <si>
    <t>6*17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</si>
  <si>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</si>
  <si>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</si>
  <si>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</si>
  <si>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</si>
  <si>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</si>
  <si>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</si>
  <si>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</si>
  <si>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</si>
  <si>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</si>
  <si>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</si>
  <si>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</si>
  <si>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</si>
  <si>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</si>
  <si>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</si>
  <si>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</si>
  <si>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</si>
  <si>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</si>
  <si>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</si>
  <si>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</si>
  <si>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</si>
  <si>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</si>
  <si>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</si>
  <si>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</si>
  <si>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</si>
  <si>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</si>
  <si>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54</t>
  </si>
  <si>
    <t>Mirsharai 150 MW</t>
  </si>
  <si>
    <t>HFO/Gas</t>
  </si>
  <si>
    <t>18.5*9</t>
  </si>
  <si>
    <t>55</t>
  </si>
  <si>
    <t>SS Power</t>
  </si>
  <si>
    <t>Coal</t>
  </si>
  <si>
    <t>2*660</t>
  </si>
  <si>
    <t>56</t>
  </si>
  <si>
    <t>Cox's Bazar Wind</t>
  </si>
  <si>
    <t>Wind</t>
  </si>
  <si>
    <t>22*3</t>
  </si>
  <si>
    <t>57</t>
  </si>
  <si>
    <t>Matarbari 2*600 MW (CPGCBL)</t>
  </si>
  <si>
    <t>CPGCL</t>
  </si>
  <si>
    <t>2*600</t>
  </si>
  <si>
    <t>U1 S/D 25/Mar/25</t>
  </si>
  <si>
    <t>Chattogram Area Total</t>
  </si>
  <si>
    <t>58</t>
  </si>
  <si>
    <t>Ashuganj CCPP 225 MW</t>
  </si>
  <si>
    <t>APSCL</t>
  </si>
  <si>
    <t>1X142+1X75</t>
  </si>
  <si>
    <t>59</t>
  </si>
  <si>
    <t>Ashuganj 450 MW CCPP(North)</t>
  </si>
  <si>
    <t>1*360</t>
  </si>
  <si>
    <t>ST Under Maintenance</t>
  </si>
  <si>
    <t>60</t>
  </si>
  <si>
    <t>Ashuganj 450 MW CCPP(South)</t>
  </si>
  <si>
    <t>Machine Problem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</si>
  <si>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</si>
  <si>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</si>
  <si>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</si>
  <si>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</si>
  <si>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</si>
  <si>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</si>
  <si>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</si>
  <si>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</si>
  <si>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15*4</t>
  </si>
  <si>
    <t>64</t>
  </si>
  <si>
    <t>Ashuganj 195 MW PP (APSCL-United)</t>
  </si>
  <si>
    <t>20X9.73+1X16</t>
  </si>
  <si>
    <t>65</t>
  </si>
  <si>
    <t>Ashuganj  51 MW PP (Midland)</t>
  </si>
  <si>
    <t>6X9.34</t>
  </si>
  <si>
    <t>66</t>
  </si>
  <si>
    <t>Ashuganj 150MW PP (Midland)</t>
  </si>
  <si>
    <t>23X7.015</t>
  </si>
  <si>
    <t>67</t>
  </si>
  <si>
    <t>Titas 50 MW Peaking PP</t>
  </si>
  <si>
    <t>6*8.92</t>
  </si>
  <si>
    <t>68</t>
  </si>
  <si>
    <t>Chandpur 150 MW CCPP</t>
  </si>
  <si>
    <t>1*106+1*57</t>
  </si>
  <si>
    <t>69</t>
  </si>
  <si>
    <t>Chandpur 200MW (Desh energy)</t>
  </si>
  <si>
    <t>12*18.4</t>
  </si>
  <si>
    <t>70</t>
  </si>
  <si>
    <t>Feni 11 MW PP  (Doreen)</t>
  </si>
  <si>
    <t>4*2.90</t>
  </si>
  <si>
    <t>Import (Tripura)</t>
  </si>
  <si>
    <t>Import</t>
  </si>
  <si>
    <t>71</t>
  </si>
  <si>
    <t>Jangalia 52 MW PP (Lakdanavi)</t>
  </si>
  <si>
    <t>72</t>
  </si>
  <si>
    <t>Cumilla 25 MW PP (Summit)</t>
  </si>
  <si>
    <t>3*3.67+2*6.97</t>
  </si>
  <si>
    <t>73</t>
  </si>
  <si>
    <t>Feni Lanka Power</t>
  </si>
  <si>
    <t>7*18.415+1*9.78</t>
  </si>
  <si>
    <t>74</t>
  </si>
  <si>
    <t>Chowmuhani 113 MW</t>
  </si>
  <si>
    <t>12*9.78+2*3.1</t>
  </si>
  <si>
    <t>Liquid fuel Shortage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</si>
  <si>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</si>
  <si>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</si>
  <si>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</si>
  <si>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</si>
  <si>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</si>
  <si>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</si>
  <si>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77</t>
  </si>
  <si>
    <t>RPCL 210MW CCPP</t>
  </si>
  <si>
    <t>4*35+1*70</t>
  </si>
  <si>
    <t>79</t>
  </si>
  <si>
    <t>Sarishabari 3 MW Solar Plant</t>
  </si>
  <si>
    <t>80</t>
  </si>
  <si>
    <t>Mymensingh 200 MW PP (United)</t>
  </si>
  <si>
    <t>9.78*21</t>
  </si>
  <si>
    <t>81</t>
  </si>
  <si>
    <t>Jamalpur 115 MW PP (United)</t>
  </si>
  <si>
    <t>9.78*12</t>
  </si>
  <si>
    <t>82</t>
  </si>
  <si>
    <t>Sutiakhali 50 MW Solar PP</t>
  </si>
  <si>
    <t>83</t>
  </si>
  <si>
    <t>Tangail Palli Power Gen 22 MW</t>
  </si>
  <si>
    <t>4*6.7</t>
  </si>
  <si>
    <t>From 00:00 to 24:00 hr. will be dispatching 12 MW</t>
  </si>
  <si>
    <t>84</t>
  </si>
  <si>
    <t>Bhairob 54.5 MW</t>
  </si>
  <si>
    <t>3*18.2</t>
  </si>
  <si>
    <t>Mymensingh Area Total</t>
  </si>
  <si>
    <t>85</t>
  </si>
  <si>
    <t>Fenchugonj CCPP Phase-1</t>
  </si>
  <si>
    <t>2*32+1*33</t>
  </si>
  <si>
    <t>86</t>
  </si>
  <si>
    <t>Fenchugonj CCPP Phase-2</t>
  </si>
  <si>
    <t>2*35+1*35</t>
  </si>
  <si>
    <t>87</t>
  </si>
  <si>
    <t>Kushiara 163 MW CCPP (KP)</t>
  </si>
  <si>
    <t>1*109+1*54</t>
  </si>
  <si>
    <t>88</t>
  </si>
  <si>
    <t>Shajibazar 330 MW CCPP</t>
  </si>
  <si>
    <t>3*110</t>
  </si>
  <si>
    <t>Under Maintenance</t>
  </si>
  <si>
    <t>89</t>
  </si>
  <si>
    <t>Fenchuganj  44MW (Energyprima)</t>
  </si>
  <si>
    <t>NENP</t>
  </si>
  <si>
    <t>12*3.3+5*2</t>
  </si>
  <si>
    <t>90</t>
  </si>
  <si>
    <t>Hobiganj  11MW PP Cofidence-E</t>
  </si>
  <si>
    <t>91</t>
  </si>
  <si>
    <t>Shahjibazar GTPP Unit- 8 &amp; 9</t>
  </si>
  <si>
    <t>2*35</t>
  </si>
  <si>
    <t>92</t>
  </si>
  <si>
    <t>Shahjibazar 86MW PP (Shahjibazar)</t>
  </si>
  <si>
    <t>RPP</t>
  </si>
  <si>
    <t>32*2.90</t>
  </si>
  <si>
    <t>93</t>
  </si>
  <si>
    <t>Shahjibazar 100 MW GTPP</t>
  </si>
  <si>
    <t>1*100</t>
  </si>
  <si>
    <t>94</t>
  </si>
  <si>
    <t>Sylhet 225 MW CCPP</t>
  </si>
  <si>
    <t>1*142+1*89</t>
  </si>
  <si>
    <t>95</t>
  </si>
  <si>
    <t>Sylhet  20 MW GTPP</t>
  </si>
  <si>
    <t>1*20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</si>
  <si>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</si>
  <si>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</si>
  <si>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</si>
  <si>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</si>
  <si>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</si>
  <si>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</si>
  <si>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</si>
  <si>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</si>
  <si>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</si>
  <si>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FGMO Activated</t>
  </si>
  <si>
    <t>99</t>
  </si>
  <si>
    <t>Bibiyana South 400 MW</t>
  </si>
  <si>
    <t>1*400</t>
  </si>
  <si>
    <t>Sylhet Area Total</t>
  </si>
  <si>
    <t>100</t>
  </si>
  <si>
    <t>Bheramara GTPP Unit-3</t>
  </si>
  <si>
    <t>HSD</t>
  </si>
  <si>
    <t>1X20</t>
  </si>
  <si>
    <t>**</t>
  </si>
  <si>
    <t>Bheramara (HVDC )</t>
  </si>
  <si>
    <t>2X500</t>
  </si>
  <si>
    <t>101</t>
  </si>
  <si>
    <t>Faridpur 50 MW Peaking PP</t>
  </si>
  <si>
    <t>8*6.89</t>
  </si>
  <si>
    <t>102</t>
  </si>
  <si>
    <t>Khulna 225 MW CCPP</t>
  </si>
  <si>
    <t>HSD/Gas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</si>
  <si>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</si>
  <si>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</si>
  <si>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</si>
  <si>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</si>
  <si>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</si>
  <si>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</si>
  <si>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</si>
  <si>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</si>
  <si>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</si>
  <si>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</si>
  <si>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</si>
  <si>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</si>
  <si>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</si>
  <si>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</si>
  <si>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</si>
  <si>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</si>
  <si>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</si>
  <si>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</si>
  <si>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</si>
  <si>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109</t>
  </si>
  <si>
    <t>Rampal 1320 MW (BIFPCL)</t>
  </si>
  <si>
    <t>660*2</t>
  </si>
  <si>
    <t>HVDC(Nepal)</t>
  </si>
  <si>
    <t>1*40</t>
  </si>
  <si>
    <t>Khulna Area Total</t>
  </si>
  <si>
    <t>Patuakhali 1320 MW (RNPL)</t>
  </si>
  <si>
    <t>On test</t>
  </si>
  <si>
    <t>110</t>
  </si>
  <si>
    <t>Barisal 110 MW PP (Summit )</t>
  </si>
  <si>
    <t>7X17.076</t>
  </si>
  <si>
    <t>111</t>
  </si>
  <si>
    <t>Bhola  33 MW PP (Venture)</t>
  </si>
  <si>
    <t>1X34.50</t>
  </si>
  <si>
    <t>112</t>
  </si>
  <si>
    <t>Bhola 225 MW  CCPP</t>
  </si>
  <si>
    <t>2X63+1X68</t>
  </si>
  <si>
    <t>Partial Shutdown of STG</t>
  </si>
  <si>
    <t>113</t>
  </si>
  <si>
    <t>Payra 1320 MW</t>
  </si>
  <si>
    <t>BCPCL</t>
  </si>
  <si>
    <t>2*622</t>
  </si>
  <si>
    <t>114</t>
  </si>
  <si>
    <t>Bhola Nutan Biddut BD LTD</t>
  </si>
  <si>
    <t>2*110</t>
  </si>
  <si>
    <t>MVAR Subjected to Grid Voltage.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</si>
  <si>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</si>
  <si>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</si>
  <si>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</si>
  <si>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</si>
  <si>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</si>
  <si>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</si>
  <si>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</si>
  <si>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</si>
  <si>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</si>
  <si>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118</t>
  </si>
  <si>
    <t>Baghabari 71 MW GTPP</t>
  </si>
  <si>
    <t>1X71</t>
  </si>
  <si>
    <t>Baghabari  100 MW GTPP</t>
  </si>
  <si>
    <t>Machine Under Maintenance</t>
  </si>
  <si>
    <t>119</t>
  </si>
  <si>
    <t>Baghabari  50 MW Peaking PP</t>
  </si>
  <si>
    <t>120</t>
  </si>
  <si>
    <t>Bera 70 MW Peaking PP</t>
  </si>
  <si>
    <t>9*8.29</t>
  </si>
  <si>
    <t>121</t>
  </si>
  <si>
    <t>Amnura 50 MW PP(Sinha)</t>
  </si>
  <si>
    <t>7*7.79</t>
  </si>
  <si>
    <t>122</t>
  </si>
  <si>
    <t>Katakhali 50 MW Peaking PP</t>
  </si>
  <si>
    <t>6*8.7</t>
  </si>
  <si>
    <t>One Engine is under maintenance</t>
  </si>
  <si>
    <t>123</t>
  </si>
  <si>
    <t>Sirajgonj 225MW CCPP Unit-1</t>
  </si>
  <si>
    <t>124</t>
  </si>
  <si>
    <t>Sirajgonj 225MW CCPP Unit-2</t>
  </si>
  <si>
    <t>125</t>
  </si>
  <si>
    <t>Sirajgonj 225MW CCPP Unit-3</t>
  </si>
  <si>
    <t>1*141</t>
  </si>
  <si>
    <t>126</t>
  </si>
  <si>
    <t>Sirajgonj 400 MW CCPP Unit-4</t>
  </si>
  <si>
    <t>1*282+1*132</t>
  </si>
  <si>
    <t>127</t>
  </si>
  <si>
    <t>Santahar  50 MW Peaking PP</t>
  </si>
  <si>
    <t>128</t>
  </si>
  <si>
    <t>Ullapara 11 MW PP (Summit)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</si>
  <si>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</si>
  <si>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</si>
  <si>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</si>
  <si>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</si>
  <si>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</si>
  <si>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</si>
  <si>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</si>
  <si>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132</t>
  </si>
  <si>
    <t>Confidence Power Bogura Unit-1 113 MW</t>
  </si>
  <si>
    <t>6*18.55</t>
  </si>
  <si>
    <t>133</t>
  </si>
  <si>
    <t>Sirajgonj 6.55 MW Solar</t>
  </si>
  <si>
    <t>Adani Power Jharkhanda Ltd</t>
  </si>
  <si>
    <t>2*673</t>
  </si>
  <si>
    <t>134</t>
  </si>
  <si>
    <t>Sirajganj 68 MW Solar Park</t>
  </si>
  <si>
    <t>Pabna Solar 100 MW</t>
  </si>
  <si>
    <t>Rajshahi Area Total</t>
  </si>
  <si>
    <t>135</t>
  </si>
  <si>
    <t>Barapukuria TPP Unit-1 &amp; 2</t>
  </si>
  <si>
    <t>1*125+1*125</t>
  </si>
  <si>
    <t>Partial Shutdown due to maintenance</t>
  </si>
  <si>
    <t>136</t>
  </si>
  <si>
    <t>Barapukuria 275 MW TPP Unit-3</t>
  </si>
  <si>
    <t>1*275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</si>
  <si>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</si>
  <si>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</si>
  <si>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</si>
  <si>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</si>
  <si>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</si>
  <si>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</si>
  <si>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</si>
  <si>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</si>
  <si>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</si>
  <si>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</si>
  <si>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</si>
  <si>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</si>
  <si>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 30 MW</t>
  </si>
  <si>
    <t>1*30</t>
  </si>
  <si>
    <t>143</t>
  </si>
  <si>
    <t>Teesta Solar Limited</t>
  </si>
  <si>
    <t>Rangpur Area Total</t>
  </si>
  <si>
    <t>System Total</t>
  </si>
  <si>
    <t>Forecast Scenario (12-05-2025)</t>
  </si>
  <si>
    <t>Hour</t>
  </si>
  <si>
    <t>Generation</t>
  </si>
  <si>
    <t>Load-Shed</t>
  </si>
  <si>
    <t>Demand</t>
  </si>
  <si>
    <t>Probable Maximum Temperature:</t>
  </si>
  <si>
    <t>36.00°C</t>
  </si>
  <si>
    <t>Probable Maximum Demand at Day Peak:</t>
  </si>
  <si>
    <t>14390.00 MW</t>
  </si>
  <si>
    <t>Total Load Shed forecast (in MW) at evening peak hr. (Sub-station End):</t>
  </si>
  <si>
    <t>Probable Maximum Demand at Evening Peak:</t>
  </si>
  <si>
    <t>15670.00 MW</t>
  </si>
  <si>
    <t>Area Wise Load Shed forecast (in MW) at evening peak hr. (Sub-station End):</t>
  </si>
  <si>
    <t>Probable Maximum Generation at Evening Peak:</t>
  </si>
  <si>
    <t>Dhaka</t>
  </si>
  <si>
    <t>Chittagong</t>
  </si>
  <si>
    <t>Cumilla</t>
  </si>
  <si>
    <t>Mymensingh</t>
  </si>
  <si>
    <t>Sylhet</t>
  </si>
  <si>
    <t>Khulna</t>
  </si>
  <si>
    <t>Barishal</t>
  </si>
  <si>
    <t>Rajshahi</t>
  </si>
  <si>
    <t>Rangpur</t>
  </si>
  <si>
    <t>Total</t>
  </si>
  <si>
    <t>Probable Total Energy Generation:</t>
  </si>
  <si>
    <t>339.70 MKWHr.</t>
  </si>
  <si>
    <t>*** This report is generated digitally from Operation Information System (OIS) at 09:14 hrs on 12-05-2025</t>
  </si>
  <si>
    <t>Sub-Divisional Engineer</t>
  </si>
  <si>
    <t>Executive Engineer</t>
  </si>
  <si>
    <t>Network Operation Division</t>
  </si>
  <si>
    <t>Total KWH</t>
  </si>
  <si>
    <t>23:00</t>
  </si>
  <si>
    <t>22:00</t>
  </si>
  <si>
    <t>21:00</t>
  </si>
  <si>
    <t>20:00</t>
  </si>
  <si>
    <t>19:30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</si>
  <si>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</si>
  <si>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</si>
  <si>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</si>
  <si>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</si>
  <si>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</si>
  <si>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</si>
  <si>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</si>
  <si>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</si>
  <si>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</si>
  <si>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</si>
  <si>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</si>
  <si>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</si>
  <si>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07:00</t>
  </si>
  <si>
    <t>06:00</t>
  </si>
  <si>
    <t>05:00</t>
  </si>
  <si>
    <t>04:00</t>
  </si>
  <si>
    <t xml:space="preserve"> </t>
  </si>
  <si>
    <t>03:00</t>
  </si>
  <si>
    <t>02:00</t>
  </si>
  <si>
    <t>01:00</t>
  </si>
  <si>
    <t>00:00</t>
  </si>
  <si>
    <t>150.000 MW</t>
  </si>
  <si>
    <t>1244.000 MW</t>
  </si>
  <si>
    <t>1320.000 MW</t>
  </si>
  <si>
    <t>220.000 MW</t>
  </si>
  <si>
    <t>193.100 MW</t>
  </si>
  <si>
    <t>40.000 MW</t>
  </si>
  <si>
    <t>307.000 MW</t>
  </si>
  <si>
    <t>110.000 MW</t>
  </si>
  <si>
    <t>1.000 MW</t>
  </si>
  <si>
    <t>200.000 MW</t>
  </si>
  <si>
    <t>8.000 MW</t>
  </si>
  <si>
    <t>20.000 MW</t>
  </si>
  <si>
    <t>113.000 MW</t>
  </si>
  <si>
    <t>30.000 MW</t>
  </si>
  <si>
    <t>115.000 MW</t>
  </si>
  <si>
    <t>170.000 MW</t>
  </si>
  <si>
    <t>274.000 MW</t>
  </si>
  <si>
    <t>11.000 MW</t>
  </si>
  <si>
    <t>6.090 MW</t>
  </si>
  <si>
    <t>413.790 MW</t>
  </si>
  <si>
    <t>214.000 MW</t>
  </si>
  <si>
    <t>68.000 MW</t>
  </si>
  <si>
    <t>46.000 MW</t>
  </si>
  <si>
    <t>100.000 MW</t>
  </si>
  <si>
    <t>52.200 MW</t>
  </si>
  <si>
    <t>45.490 MW</t>
  </si>
  <si>
    <t>104.000 MW</t>
  </si>
  <si>
    <t>66.000 MW</t>
  </si>
  <si>
    <t>71.000 MW</t>
  </si>
  <si>
    <t>47.000 MW</t>
  </si>
  <si>
    <t>1435.880 MW</t>
  </si>
  <si>
    <t>105.000 MW</t>
  </si>
  <si>
    <t>1234.200 MW</t>
  </si>
  <si>
    <t>336.000 MW</t>
  </si>
  <si>
    <t>230.000 MW</t>
  </si>
  <si>
    <t>0.000 MW</t>
  </si>
  <si>
    <t>50.000 MW</t>
  </si>
  <si>
    <t>16.000 MW</t>
  </si>
  <si>
    <t>410.000 MW</t>
  </si>
  <si>
    <t>1000.000 MW</t>
  </si>
  <si>
    <t>22.000 MW</t>
  </si>
  <si>
    <t>2.710 MW</t>
  </si>
  <si>
    <t>210.000 MW</t>
  </si>
  <si>
    <t>54.500 MW</t>
  </si>
  <si>
    <t>225.000 MW</t>
  </si>
  <si>
    <t>330.000 MW</t>
  </si>
  <si>
    <t>66.570 MW</t>
  </si>
  <si>
    <t>86.000 MW</t>
  </si>
  <si>
    <t>25.000 MW</t>
  </si>
  <si>
    <t>163.000 MW</t>
  </si>
  <si>
    <t>90.000 MW</t>
  </si>
  <si>
    <t>80.000 MW</t>
  </si>
  <si>
    <t>400.000 MW</t>
  </si>
  <si>
    <t>383.000 MW</t>
  </si>
  <si>
    <t>341.000 MW</t>
  </si>
  <si>
    <t>75.000 MW</t>
  </si>
  <si>
    <t>160.000 MW</t>
  </si>
  <si>
    <t>114.000 MW</t>
  </si>
  <si>
    <t>46.940 MW</t>
  </si>
  <si>
    <t>221.430 MW</t>
  </si>
  <si>
    <t>55.000 MW</t>
  </si>
  <si>
    <t>356.560 MW</t>
  </si>
  <si>
    <t>353.350 MW</t>
  </si>
  <si>
    <t>393.000 MW</t>
  </si>
  <si>
    <t>195.000 MW</t>
  </si>
  <si>
    <t>51.000 MW</t>
  </si>
  <si>
    <t>1224.000 MW</t>
  </si>
  <si>
    <t>126.500 MW</t>
  </si>
  <si>
    <t>25.500 MW</t>
  </si>
  <si>
    <t>159.860 MW</t>
  </si>
  <si>
    <t>1200.000 MW</t>
  </si>
  <si>
    <t>42.000 MW</t>
  </si>
  <si>
    <t>7.000 MW</t>
  </si>
  <si>
    <t>54.360 MW</t>
  </si>
  <si>
    <t>94.000 MW</t>
  </si>
  <si>
    <t>98.000 MW</t>
  </si>
  <si>
    <t>60.000 MW</t>
  </si>
  <si>
    <t>360.000 MW</t>
  </si>
  <si>
    <t>108.000 MW</t>
  </si>
  <si>
    <t>300.000 MW</t>
  </si>
  <si>
    <t>116.000 MW</t>
  </si>
  <si>
    <t>584.000 MW</t>
  </si>
  <si>
    <t>23.000 MW</t>
  </si>
  <si>
    <t>33.750 MW</t>
  </si>
  <si>
    <t>35.000 MW</t>
  </si>
  <si>
    <t>93.000 MW</t>
  </si>
  <si>
    <t>335.000 MW</t>
  </si>
  <si>
    <t>33.000 MW</t>
  </si>
  <si>
    <t>583.000 MW</t>
  </si>
  <si>
    <t>450.000 MW</t>
  </si>
  <si>
    <t>162.000 MW</t>
  </si>
  <si>
    <t>149.360 MW</t>
  </si>
  <si>
    <t>149.000 MW</t>
  </si>
  <si>
    <t>53.970 MW</t>
  </si>
  <si>
    <t>400.750 MW</t>
  </si>
  <si>
    <t>97.700 MW</t>
  </si>
  <si>
    <t>174.800 MW</t>
  </si>
  <si>
    <t>240.000 MW</t>
  </si>
  <si>
    <t>260.000 MW</t>
  </si>
  <si>
    <t>365.000 MW</t>
  </si>
  <si>
    <t>52.194 MW</t>
  </si>
  <si>
    <t>102.000 MW</t>
  </si>
  <si>
    <t>Water Level</t>
  </si>
  <si>
    <t>National Grid Total</t>
  </si>
  <si>
    <t>Western Total</t>
  </si>
  <si>
    <t>Bhola Nutan Biddut BD LTD (HSD)</t>
  </si>
  <si>
    <t>Bhola Nutan Biddut BD LTD (Gas)</t>
  </si>
  <si>
    <t>Sirajgonj 400 MW CCPP Unit-4 (HSD)</t>
  </si>
  <si>
    <t>Sirajgonj 400 MW CCPP Unit-4 (Gas)</t>
  </si>
  <si>
    <t>Sirajgonj 225MW CCPP Unit-3 (HSD)</t>
  </si>
  <si>
    <t>Sirajgonj 225MW CCPP Unit-3 (Gas)</t>
  </si>
  <si>
    <t>Sirajgonj 225MW CCPP Unit-2 (HSD)</t>
  </si>
  <si>
    <t>Sirajgonj 225MW CCPP Unit-2 (Gas)</t>
  </si>
  <si>
    <t>Sirajgonj 225MW CCPP Unit-1 (HSD)</t>
  </si>
  <si>
    <t>Sirajgonj 225MW CCPP Unit-1 (Gas)</t>
  </si>
  <si>
    <t>Khulna 330 MW CCPP (Gas)</t>
  </si>
  <si>
    <t>Khulna 330 MW CCPP (HSD)</t>
  </si>
  <si>
    <t>Khulna 225 MW CCPP (Gas)</t>
  </si>
  <si>
    <t>Khulna 225 MW CCPP (HSD)</t>
  </si>
  <si>
    <t>Eastern Total</t>
  </si>
  <si>
    <t>Sikalbaha Peaking GT (HSD)</t>
  </si>
  <si>
    <t>Sikalbaha Peaking GT (Gas)</t>
  </si>
  <si>
    <t>Sikalbaha 225MW CCPP (HSD)</t>
  </si>
  <si>
    <t>Sikalbaha 225MW CCPP (Gas)</t>
  </si>
  <si>
    <t>Mirsharai 150 MW (Gas)</t>
  </si>
  <si>
    <t>Mirsharai 150 MW (HFO)</t>
  </si>
  <si>
    <t>Meghnaghat CCPP(Summit)-2 (HSD)</t>
  </si>
  <si>
    <t>Meghnaghat CCPP(Summit)-2 (Gas)</t>
  </si>
  <si>
    <t>22:00-06:00</t>
  </si>
  <si>
    <t>Day:</t>
  </si>
  <si>
    <t>Sunday</t>
  </si>
  <si>
    <t>14:00-22:00</t>
  </si>
  <si>
    <t>Date:</t>
  </si>
  <si>
    <t>06:00-14:00</t>
  </si>
  <si>
    <t>Signature</t>
  </si>
  <si>
    <t>Shift</t>
  </si>
  <si>
    <t>Daily Generation Log (Mega Watt)</t>
  </si>
  <si>
    <t>Page 6 of 6</t>
  </si>
  <si>
    <t>Page 5 of 6</t>
  </si>
  <si>
    <t>Page 4 of 6</t>
  </si>
  <si>
    <t>Page 3 of 6</t>
  </si>
  <si>
    <t>Page 2 of 6</t>
  </si>
  <si>
    <t>Page 1 of 6</t>
  </si>
  <si>
    <t>QF-LDC-01</t>
  </si>
  <si>
    <t>Superintendent Engineer</t>
  </si>
  <si>
    <t xml:space="preserve">Chunarughat feeder O/C Earth fault Relay. </t>
  </si>
  <si>
    <t xml:space="preserve">Shahjibazar 132/33kV S/S TR-06 LT Tripped showing O/C , E/F Relay relays Due to </t>
  </si>
  <si>
    <t>07:50</t>
  </si>
  <si>
    <t xml:space="preserve">Shahjibazar 132/33kV S/S TR-04 LT Tripped showing O/C, E/F Relay relays Due to </t>
  </si>
  <si>
    <t xml:space="preserve">energy meter replacement work </t>
  </si>
  <si>
    <t xml:space="preserve">Jhenaidah 230/132kV S/S Jhenaidah (New)-Jhenaidah (Old) Ckt-2 Scheduled S/D Due to Faulty </t>
  </si>
  <si>
    <t>07:28</t>
  </si>
  <si>
    <t xml:space="preserve">Maintenance work for jhenaidah 230 kv ss. </t>
  </si>
  <si>
    <t xml:space="preserve">Jhenaidah 132/33kV S/S Jhenaidah1-Jhenaidah2,132kV Circuit-2(L3) Forced S/D Due to </t>
  </si>
  <si>
    <t xml:space="preserve">Narshingdi 132/33kV S/S 132 kV Main Bus-2  Scheduled S/D Due to Hotspot maintenance work </t>
  </si>
  <si>
    <t>07:35</t>
  </si>
  <si>
    <t>06:10</t>
  </si>
  <si>
    <t xml:space="preserve">Hotspot maintenance work </t>
  </si>
  <si>
    <t xml:space="preserve">Brahmanbaria-Narsinghdi 132 kV Ckt-1 Scheduled S/D from Narshingdi 132/33kV end Due to </t>
  </si>
  <si>
    <t>06:07</t>
  </si>
  <si>
    <t xml:space="preserve">taken by NLDC and from Narshingdi 132/33kV end Due to Hotspot maintenance work </t>
  </si>
  <si>
    <t xml:space="preserve">Brahmanbaria-Narsinghdi 132 kV Ckt-2 Forced S/D from Brahmanbaria 132/33kV end Due to S/D </t>
  </si>
  <si>
    <t>07:43</t>
  </si>
  <si>
    <t>06:04</t>
  </si>
  <si>
    <t xml:space="preserve">Meghnaghat CCPP(Summit)-2 Synchronized with remarks:- GT </t>
  </si>
  <si>
    <t>05:23</t>
  </si>
  <si>
    <t xml:space="preserve"> Summit Meghnaghat-2 589 MW CCPP GT was sync. </t>
  </si>
  <si>
    <t xml:space="preserve">Meghnaghat CCPP(Summit), FGMO is OFF with remarks:-  </t>
  </si>
  <si>
    <t>04:02</t>
  </si>
  <si>
    <t xml:space="preserve">Meghnaghat CCPP(Summit)-2 Tripped with remarks:- GT </t>
  </si>
  <si>
    <t>03:23</t>
  </si>
  <si>
    <t xml:space="preserve"> Summit Meghnaghat-2 589 MW CCPP tripped due to a problem in Fuel Gas Compressor. </t>
  </si>
  <si>
    <t xml:space="preserve">maintenance at 23:41 hrs </t>
  </si>
  <si>
    <t xml:space="preserve">Meghnaghat CCPP(Summit) GT-1 Planned Shutdown with remarks:- GT-1 Shutdown for </t>
  </si>
  <si>
    <t>23:41</t>
  </si>
  <si>
    <t xml:space="preserve">Meghnaghat Summit CCPP 335 MW GT-1 was shutdown due to scheduled maintenance.  </t>
  </si>
  <si>
    <t>23:39</t>
  </si>
  <si>
    <t xml:space="preserve">132/33kV end  </t>
  </si>
  <si>
    <t xml:space="preserve">interrup. Barishal </t>
  </si>
  <si>
    <t xml:space="preserve">25.0MW load </t>
  </si>
  <si>
    <t xml:space="preserve">132/33kV end and </t>
  </si>
  <si>
    <t xml:space="preserve">side temperature rise mitigate works. </t>
  </si>
  <si>
    <t xml:space="preserve">interrup. Bhandaria </t>
  </si>
  <si>
    <t xml:space="preserve">maintenance of barishal grid end. and from Barishal 132/33kV end Due to For R phase line </t>
  </si>
  <si>
    <t xml:space="preserve">30.0MW load </t>
  </si>
  <si>
    <t xml:space="preserve">Barishal-Bhandaria 132 kV Ckt-1 Forced S/D from Bhandaria 132/33kV end Due to Red hot </t>
  </si>
  <si>
    <t>23:14</t>
  </si>
  <si>
    <t>22:21</t>
  </si>
  <si>
    <t xml:space="preserve">relay relays. and from Mithapukur 132/33kV end showing 21M1, 22M2, 86A, 86B relays. </t>
  </si>
  <si>
    <t xml:space="preserve">Mithapukur-Palashbari  132kV Ckt-2 Tripped from Palashbari 132/33kV end showing Distance </t>
  </si>
  <si>
    <t>22:43</t>
  </si>
  <si>
    <t>22:06</t>
  </si>
  <si>
    <t xml:space="preserve">Rampal 1320 MW (BIFPCL) Tripped with remarks:- U1 </t>
  </si>
  <si>
    <t>21:44</t>
  </si>
  <si>
    <t xml:space="preserve">Rampal 1320 MW (BIFPCL) Synchronized with remarks:- U1 tripped-21:44 </t>
  </si>
  <si>
    <t xml:space="preserve">Rampal 1320 MW (BIFPCL) unit-1 tripped. </t>
  </si>
  <si>
    <t xml:space="preserve">Evening Peak Generation: 15044 MW. </t>
  </si>
  <si>
    <t xml:space="preserve">33kv Sukanpukur Feeder fault. </t>
  </si>
  <si>
    <t xml:space="preserve">Mahasthangarh 132/33kV S/S 406T MTR1 LT Tripped showing Micom-P142 relays Due to Due to </t>
  </si>
  <si>
    <t>18:55</t>
  </si>
  <si>
    <t>18:44</t>
  </si>
  <si>
    <t xml:space="preserve">Relay relays. </t>
  </si>
  <si>
    <t xml:space="preserve">Hasnabad-Sitalakhya 132kV Ckt-1 Tripped from Hasnabad 132/33kV end showing Master Trip </t>
  </si>
  <si>
    <t>17:42</t>
  </si>
  <si>
    <t>17:30</t>
  </si>
  <si>
    <t xml:space="preserve">Madunaghat-Sikalbaha 132kV Ckt-2 is restored. </t>
  </si>
  <si>
    <t>17:20</t>
  </si>
  <si>
    <t xml:space="preserve">Tongi 230/132/33kV S/S Tongi-Uttara 3rd Phase Ckt Tripped showing Distance Relay relays. </t>
  </si>
  <si>
    <t>17:10</t>
  </si>
  <si>
    <t xml:space="preserve">interrup. </t>
  </si>
  <si>
    <t xml:space="preserve">Shafiul Alam Feeder fault(PDB) </t>
  </si>
  <si>
    <t xml:space="preserve">26.0MW load </t>
  </si>
  <si>
    <t xml:space="preserve">Cumilla(S) 132/33kV S/S TR-4 LT Tripped showing 1.RET650
2.REF615 relays Due to 33 KV </t>
  </si>
  <si>
    <t>17:11</t>
  </si>
  <si>
    <t>17:02</t>
  </si>
  <si>
    <t xml:space="preserve">relays. </t>
  </si>
  <si>
    <t xml:space="preserve">Kabirpur -Tongi   132kV Ckt-2 Tripped from Tongi 230/132/33kV end showing Distance Relay </t>
  </si>
  <si>
    <t>17:07</t>
  </si>
  <si>
    <t xml:space="preserve">Jamalpur-Mymensingh  132kV Ckt-2 Tripped from Jamalpur 132/33kV end showing A,N relays. </t>
  </si>
  <si>
    <t>16:33</t>
  </si>
  <si>
    <t>16:21</t>
  </si>
  <si>
    <t xml:space="preserve">33KV BUs Loop and BISIC Feeder Earth Fault </t>
  </si>
  <si>
    <t xml:space="preserve">Shahjibazar 132/33kV S/S TR-06 LT Tripped showing O/C,Earth Fault Relay relays Due to </t>
  </si>
  <si>
    <t>18:50</t>
  </si>
  <si>
    <t>15:30</t>
  </si>
  <si>
    <t xml:space="preserve">KV Bus loop and BISIC Feeder Earth Fault </t>
  </si>
  <si>
    <t xml:space="preserve">Shahjibazar 132/33kV S/S TR-04 LT Tripped showing O/C,Earth Fault Relay relays Due to 33 </t>
  </si>
  <si>
    <t xml:space="preserve">day peak genration 14733MW  </t>
  </si>
  <si>
    <t xml:space="preserve">130.0MW load </t>
  </si>
  <si>
    <t xml:space="preserve">Kabirpur 132/33kV S/S XFR, T-2 LT Tripped showing Micom p127 relays Due to Trip </t>
  </si>
  <si>
    <t>00:22</t>
  </si>
  <si>
    <t>11:45</t>
  </si>
  <si>
    <t xml:space="preserve">200.0MW load </t>
  </si>
  <si>
    <t xml:space="preserve">Kabirpur 132/33kV S/S XFR, T-I LT Tripped showing Micomp127 relays Due to Trip </t>
  </si>
  <si>
    <t>12:16</t>
  </si>
  <si>
    <t xml:space="preserve">to MK box wiring brunt </t>
  </si>
  <si>
    <t xml:space="preserve">Kabirpur 132/33kV S/S XFR, T-2 HT Tripped showing Trip ckt supervissin relay relays Due </t>
  </si>
  <si>
    <t>00:21</t>
  </si>
  <si>
    <t xml:space="preserve">Dist. Relay. relays Due to Unknown. </t>
  </si>
  <si>
    <t xml:space="preserve">43.0MW load </t>
  </si>
  <si>
    <t xml:space="preserve">Barishal-Bhandaria 132 kV Ckt-1 Tripped from Barishal 132/33kV end showing Inst.  E/F,  </t>
  </si>
  <si>
    <t>12:33</t>
  </si>
  <si>
    <t>11:13</t>
  </si>
  <si>
    <t xml:space="preserve">Ghorashal 230kV S/S TARFO-2 LT is restored. </t>
  </si>
  <si>
    <t>10:29</t>
  </si>
  <si>
    <t xml:space="preserve">Ghorashal 230kV S/S TARFO-2 HT is restored. </t>
  </si>
  <si>
    <t>10:17</t>
  </si>
  <si>
    <t xml:space="preserve">Kachua 132/33kV S/S Main Bus-2 Project Work S/D Due to ESPNER project work </t>
  </si>
  <si>
    <t>10:12</t>
  </si>
  <si>
    <t xml:space="preserve">28.0MW load </t>
  </si>
  <si>
    <t xml:space="preserve">Shariatpur 132/33kV S/S T2-416T HT Scheduled S/D Due to Red Hot Maintenance by PBS </t>
  </si>
  <si>
    <t>12:12</t>
  </si>
  <si>
    <t>10:07</t>
  </si>
  <si>
    <t xml:space="preserve">Shariatpur 132/33kV S/S T2-416T LT Scheduled S/D Due to Red Hot Maintenance by PBS </t>
  </si>
  <si>
    <t>12:13</t>
  </si>
  <si>
    <t>10:06</t>
  </si>
  <si>
    <t xml:space="preserve">HVDC Bheramera-Jhenaidah   230kV Ckt-2 is restored. </t>
  </si>
  <si>
    <t>10:03</t>
  </si>
  <si>
    <t xml:space="preserve">Kushtia 132/33kV S/S T2 LT is restored. </t>
  </si>
  <si>
    <t>09:27</t>
  </si>
  <si>
    <t xml:space="preserve">Kushtia 132/33kV S/S T2 HT is restored. </t>
  </si>
  <si>
    <t xml:space="preserve">Sherpur 132/33kV S/S Transformer- 04 LT Scheduled S/D </t>
  </si>
  <si>
    <t>12:21</t>
  </si>
  <si>
    <t>09:21</t>
  </si>
  <si>
    <t xml:space="preserve">Sherpur 132/33kV S/S Transformer- 04 HT Scheduled S/D </t>
  </si>
  <si>
    <t>12:20</t>
  </si>
  <si>
    <t xml:space="preserve">Ishurdi 132/33kV S/S 132/33 kV T-1 LT is restored. </t>
  </si>
  <si>
    <t>09:16</t>
  </si>
  <si>
    <t xml:space="preserve">Ishurdi 132/33kV S/S 132/33 kV T-1 HT is restored. </t>
  </si>
  <si>
    <t xml:space="preserve">connector maintenance due to high temperature. </t>
  </si>
  <si>
    <t xml:space="preserve">Hasnabad 230/132kV S/S AUTO TR-1 HT Scheduled S/D Due to 132kV CB(R-phase) clamp </t>
  </si>
  <si>
    <t>11:44</t>
  </si>
  <si>
    <t>09:05</t>
  </si>
  <si>
    <t xml:space="preserve">Hasnabad 230/132kV S/S AUTO TR-1 LT Scheduled S/D Due to 132kV CB(R-phase) clamp </t>
  </si>
  <si>
    <t>11:50</t>
  </si>
  <si>
    <t>09:04</t>
  </si>
  <si>
    <t xml:space="preserve">Sylhet 132/33kV S/S T1 LT Forced S/D Due to Red hot Maintenance of Upashahar feeder. </t>
  </si>
  <si>
    <t>10:54</t>
  </si>
  <si>
    <t>08:42</t>
  </si>
  <si>
    <t xml:space="preserve">Sylhet 132/33kV S/S T1 HT Forced S/D Due to Red hot Maintenance of Upashahar feeder. </t>
  </si>
  <si>
    <t xml:space="preserve">Kodda 132/33kV S/S Tr-2 (416T) LT is restored. </t>
  </si>
  <si>
    <t>08:31</t>
  </si>
  <si>
    <t xml:space="preserve">Munshiganj 132/33kV S/S Transformer-2 LT is restored. </t>
  </si>
  <si>
    <t>08:30</t>
  </si>
  <si>
    <t xml:space="preserve">Kodda 132/33kV S/S Tr-2 (416T) HT is restored. </t>
  </si>
  <si>
    <t xml:space="preserve">feeder red hot maintenance work. </t>
  </si>
  <si>
    <t xml:space="preserve">Bagerhat 132/33kV S/S Transformer-3 ( 423 T) LT Scheduled S/D Due to 33 kv pirojpur pbs </t>
  </si>
  <si>
    <t>10:36</t>
  </si>
  <si>
    <t>08:25</t>
  </si>
  <si>
    <t>Description of Event</t>
  </si>
  <si>
    <t>Restoration Time</t>
  </si>
  <si>
    <t>Outage Time</t>
  </si>
  <si>
    <t>Event Summary</t>
  </si>
  <si>
    <t>Total Unavailable Capacity</t>
  </si>
  <si>
    <t>Siddhirgonj 210 MW  TPP</t>
  </si>
  <si>
    <t>Ashuganj 420 MW CCPP(East) ST</t>
  </si>
  <si>
    <t>Meghnaghat CCPP(Summit) GT-1</t>
  </si>
  <si>
    <t>Ashuganj 420 MW CCPP(East) GT</t>
  </si>
  <si>
    <t>Barapukuria TPP  Unit-2</t>
  </si>
  <si>
    <t>Capacity</t>
  </si>
  <si>
    <t>Plant Name</t>
  </si>
  <si>
    <t>Sl</t>
  </si>
  <si>
    <t>Forced S/D</t>
  </si>
  <si>
    <t>Planned S/D</t>
  </si>
  <si>
    <t>Status of unavailable Power Plant</t>
  </si>
  <si>
    <t>Chattogram</t>
  </si>
  <si>
    <t>Zone</t>
  </si>
  <si>
    <t>Zone-wise Load-shed and Demand Summary (MW) at evening peak Hour (21:00 Hr.)</t>
  </si>
  <si>
    <t>2419.00 MW at 21:00 hrs.</t>
  </si>
  <si>
    <t>Peak Hr Flow</t>
  </si>
  <si>
    <t>MKWHr:</t>
  </si>
  <si>
    <t xml:space="preserve">Total Import through C/B Interconnector:   </t>
  </si>
  <si>
    <t>MW:</t>
  </si>
  <si>
    <t>Maximum Power Flow:</t>
  </si>
  <si>
    <t>44.00 MW at 21:00 hrs.</t>
  </si>
  <si>
    <t xml:space="preserve">Import through Cumilla C/B Interconnector:   </t>
  </si>
  <si>
    <t>Power Flow during Peak Demand:</t>
  </si>
  <si>
    <t>1449.00 MW at 21:00 hrs.</t>
  </si>
  <si>
    <t xml:space="preserve">Import through Adani C/B Interconnector:   </t>
  </si>
  <si>
    <t>KWHr:</t>
  </si>
  <si>
    <t>Energy Flow from West to East:</t>
  </si>
  <si>
    <t>926.00 MW at 21:00 hrs.</t>
  </si>
  <si>
    <t xml:space="preserve">Import through HVDC C/B Interconnector:   </t>
  </si>
  <si>
    <t>Energy Flow from East to West:</t>
  </si>
  <si>
    <t>E-W Interconnector &amp; Import Scenario</t>
  </si>
  <si>
    <t>Tk.</t>
  </si>
  <si>
    <t>259,31,49,199</t>
  </si>
  <si>
    <t>Total:</t>
  </si>
  <si>
    <t>Production Cost (Tk.)</t>
  </si>
  <si>
    <t>Rangpur Zone</t>
  </si>
  <si>
    <t>Rajshahi Zone</t>
  </si>
  <si>
    <t>Barishal Zone</t>
  </si>
  <si>
    <t>Khulna Zone</t>
  </si>
  <si>
    <t>Sylhet Zone</t>
  </si>
  <si>
    <t>Mymensingh Zone</t>
  </si>
  <si>
    <t>Cumilla Zone</t>
  </si>
  <si>
    <t>Chattogram Zone</t>
  </si>
  <si>
    <t>Dhaka Zone</t>
  </si>
  <si>
    <t>Zone-wise Generation Summary (MKWHr.)</t>
  </si>
  <si>
    <t>Production Cost per KWHr</t>
  </si>
  <si>
    <t>00:00 Hr.</t>
  </si>
  <si>
    <t>Maximum Generation of the Day</t>
  </si>
  <si>
    <t>MMCFD</t>
  </si>
  <si>
    <t>Total Gas Supplied</t>
  </si>
  <si>
    <t>08:00 Hr.</t>
  </si>
  <si>
    <t>Minimum Generation of the Day</t>
  </si>
  <si>
    <t>°C</t>
  </si>
  <si>
    <t>Maximum Temperature</t>
  </si>
  <si>
    <t>21:00 Hr.</t>
  </si>
  <si>
    <t>Evening Peak Demand</t>
  </si>
  <si>
    <t>MKWHr.</t>
  </si>
  <si>
    <t>Energy Demand</t>
  </si>
  <si>
    <t>Evening Peak Generation</t>
  </si>
  <si>
    <t>Energy Unserverd</t>
  </si>
  <si>
    <t>12:00 Hr.</t>
  </si>
  <si>
    <t>Day Peak Demand</t>
  </si>
  <si>
    <t>Energy Generated</t>
  </si>
  <si>
    <t>Day Peak Generation</t>
  </si>
  <si>
    <t>Power Supply Scenario</t>
  </si>
  <si>
    <t>System Summary Report</t>
  </si>
  <si>
    <t>*Data collected from respective power station via Operation Information System(OIS) software.</t>
  </si>
  <si>
    <t>Western Grid Total</t>
  </si>
  <si>
    <t>Eastern Grid Total</t>
  </si>
  <si>
    <t>0</t>
  </si>
  <si>
    <t>Subjected to Grid Voltage</t>
  </si>
  <si>
    <t>GT Available</t>
  </si>
  <si>
    <t>Under maintenance</t>
  </si>
  <si>
    <t>01 engine maintenance</t>
  </si>
  <si>
    <t>Bill delay</t>
  </si>
  <si>
    <t>KWH</t>
  </si>
  <si>
    <t xml:space="preserve">Energy Generated </t>
  </si>
  <si>
    <t>Peak Hour Generation</t>
  </si>
  <si>
    <t>Name of the
 Power Stations</t>
  </si>
  <si>
    <t xml:space="preserve">  EVENING PEAK GENERATION AND DAY LONG ENERGY DATA OF POWER STATIONS</t>
  </si>
  <si>
    <t>(25)  Executive Eng.IMD.</t>
  </si>
  <si>
    <t>(19) S.E. System Protection,PGCB.</t>
  </si>
  <si>
    <t>(13) C.E (P &amp; D), PGCB.</t>
  </si>
  <si>
    <t>(8) Executive Director (O &amp; M) PGCB.</t>
  </si>
  <si>
    <t>(3) Director General,Power cell</t>
  </si>
  <si>
    <t>(24) Director,System Planning,PDB.</t>
  </si>
  <si>
    <t>(18) C.E. Transmission (1&amp;2) PGCB.</t>
  </si>
  <si>
    <t>(12) Member,P&amp;D,PDB.</t>
  </si>
  <si>
    <t>Planning Commission.</t>
  </si>
  <si>
    <t>Power,Energy &amp; Mineral Resources.</t>
  </si>
  <si>
    <t>(23) Director,Project Planning,PDB.</t>
  </si>
  <si>
    <t>(17) C.E. System Operation,PGCB</t>
  </si>
  <si>
    <t xml:space="preserve">     System Operation,PDB.</t>
  </si>
  <si>
    <t>(7) Member(Power &amp; Industry)</t>
  </si>
  <si>
    <t xml:space="preserve">(2) Secy (Power Divn.)Ministry of   </t>
  </si>
  <si>
    <t>(22) S.E. Consumer Affairs,PDB.</t>
  </si>
  <si>
    <t xml:space="preserve">(16) C.E, (P &amp; D),PDB. </t>
  </si>
  <si>
    <t xml:space="preserve">(11) Member,Transmission &amp; </t>
  </si>
  <si>
    <t>(6) Managing  Director, PGCB.</t>
  </si>
  <si>
    <t>Resources, GOB.</t>
  </si>
  <si>
    <t>(27) NLDC</t>
  </si>
  <si>
    <t>(21) Director Program, PDB.</t>
  </si>
  <si>
    <t>(15) C.E. Generation,PDB.</t>
  </si>
  <si>
    <t>(10) Member,Distribution,PDB.</t>
  </si>
  <si>
    <t>(5) Chairman, BPDB.</t>
  </si>
  <si>
    <t xml:space="preserve">Ministry of Power,Energy &amp; Mineral </t>
  </si>
  <si>
    <t>(26) Executive Eng. EMD.</t>
  </si>
  <si>
    <t>(20) Director,Public Relation,PDB.</t>
  </si>
  <si>
    <t xml:space="preserve">(14) G.M. Commercial Operation </t>
  </si>
  <si>
    <t>(9) Member,Generation,PDB.</t>
  </si>
  <si>
    <t>(4) Chairman,BERC</t>
  </si>
  <si>
    <t>(1) Honbl. Advisor</t>
  </si>
  <si>
    <t>Panchagarh</t>
  </si>
  <si>
    <t>Hathazari</t>
  </si>
  <si>
    <t>Palashbari</t>
  </si>
  <si>
    <t>Hasnabad</t>
  </si>
  <si>
    <t>Pabna</t>
  </si>
  <si>
    <t>HaripurSBU</t>
  </si>
  <si>
    <t>PHP</t>
  </si>
  <si>
    <t>Halishahar</t>
  </si>
  <si>
    <t>Noapara</t>
  </si>
  <si>
    <t>Gulshan</t>
  </si>
  <si>
    <t>Niamatpur</t>
  </si>
  <si>
    <t>Gopalganj</t>
  </si>
  <si>
    <t>New</t>
  </si>
  <si>
    <t>Gollamari</t>
  </si>
  <si>
    <t>Netrakona</t>
  </si>
  <si>
    <t>Goalpara</t>
  </si>
  <si>
    <t>Nawabganj</t>
  </si>
  <si>
    <t>Ghorashal-230</t>
  </si>
  <si>
    <t>Natore</t>
  </si>
  <si>
    <t>Ghorashal</t>
  </si>
  <si>
    <t>Narshingdi</t>
  </si>
  <si>
    <t>Ghatail</t>
  </si>
  <si>
    <t>Narinda</t>
  </si>
  <si>
    <t>GPH</t>
  </si>
  <si>
    <t>Narail</t>
  </si>
  <si>
    <t>Feni</t>
  </si>
  <si>
    <t>Naogaon</t>
  </si>
  <si>
    <t>Fenchuganj</t>
  </si>
  <si>
    <t>Fatullah</t>
  </si>
  <si>
    <t>Muradnagar</t>
  </si>
  <si>
    <t>Faridpur</t>
  </si>
  <si>
    <t>Zigatola</t>
  </si>
  <si>
    <t>Munshiganj</t>
  </si>
  <si>
    <t>Dohazari</t>
  </si>
  <si>
    <t>UttaraNew</t>
  </si>
  <si>
    <t>Muktagacha</t>
  </si>
  <si>
    <t>Dhanmondi</t>
  </si>
  <si>
    <t>Uttara</t>
  </si>
  <si>
    <t>Motijheel</t>
  </si>
  <si>
    <t>Dhamrai</t>
  </si>
  <si>
    <t>Ullon</t>
  </si>
  <si>
    <t>Mongla</t>
  </si>
  <si>
    <t>Ullahpara</t>
  </si>
  <si>
    <t>Mogbazar</t>
  </si>
  <si>
    <t>Daudkandi</t>
  </si>
  <si>
    <t>Tongi</t>
  </si>
  <si>
    <t>N/A</t>
  </si>
  <si>
    <t>Modern</t>
  </si>
  <si>
    <t>Cumilla(S)</t>
  </si>
  <si>
    <t>Thakurgaon</t>
  </si>
  <si>
    <t>Mithapukur</t>
  </si>
  <si>
    <t>Cumilla(N)</t>
  </si>
  <si>
    <t>Tangail</t>
  </si>
  <si>
    <t>Mirzapur</t>
  </si>
  <si>
    <t>18:30</t>
  </si>
  <si>
    <t>Coxsbazar</t>
  </si>
  <si>
    <t>TK</t>
  </si>
  <si>
    <t>Mirsorai</t>
  </si>
  <si>
    <t>Chuadanga</t>
  </si>
  <si>
    <t>Sylhet-132</t>
  </si>
  <si>
    <t>Mirpur</t>
  </si>
  <si>
    <t>Chowmuhani</t>
  </si>
  <si>
    <t>Millgate</t>
  </si>
  <si>
    <t>Chhatak</t>
  </si>
  <si>
    <t>Sunamganj</t>
  </si>
  <si>
    <t>Matuail</t>
  </si>
  <si>
    <t>Chauddagram</t>
  </si>
  <si>
    <t>Srinagar</t>
  </si>
  <si>
    <t>Matarbari</t>
  </si>
  <si>
    <t>Charsaidpur</t>
  </si>
  <si>
    <t>Sreepur</t>
  </si>
  <si>
    <t>Maniknagar</t>
  </si>
  <si>
    <t>Chapai</t>
  </si>
  <si>
    <t>Sreemongol</t>
  </si>
  <si>
    <t>Manikganj</t>
  </si>
  <si>
    <t>Chandraghona</t>
  </si>
  <si>
    <t>Sonargaon</t>
  </si>
  <si>
    <t>Mahasthangarh</t>
  </si>
  <si>
    <t>Chandpur</t>
  </si>
  <si>
    <t>Sirajganj</t>
  </si>
  <si>
    <t>Magura</t>
  </si>
  <si>
    <t>Chandina</t>
  </si>
  <si>
    <t>Siddhirganj</t>
  </si>
  <si>
    <t>Madunaghat</t>
  </si>
  <si>
    <t>Cantonment</t>
  </si>
  <si>
    <t>Shyampur</t>
  </si>
  <si>
    <t>Madartek</t>
  </si>
  <si>
    <t>Brahmanbaria</t>
  </si>
  <si>
    <t>Sholosohor</t>
  </si>
  <si>
    <t>Madaripur</t>
  </si>
  <si>
    <t>Borhanuddin</t>
  </si>
  <si>
    <t>Shitalakhya</t>
  </si>
  <si>
    <t>Madanganj</t>
  </si>
  <si>
    <t>Bogura</t>
  </si>
  <si>
    <t>Shikalbaha</t>
  </si>
  <si>
    <t>MI_Cement</t>
  </si>
  <si>
    <t>Bog-Sherpur</t>
  </si>
  <si>
    <t>Sherpur</t>
  </si>
  <si>
    <t>Lalmonirhat</t>
  </si>
  <si>
    <t>Bhulta</t>
  </si>
  <si>
    <t>Shariatpur</t>
  </si>
  <si>
    <t>Lalbag</t>
  </si>
  <si>
    <t>Bheramara(GK)</t>
  </si>
  <si>
    <t>Shahmirpur</t>
  </si>
  <si>
    <t>Kushtia</t>
  </si>
  <si>
    <t>Bhangura</t>
  </si>
  <si>
    <t>Shahjibazar</t>
  </si>
  <si>
    <t>Kurigram</t>
  </si>
  <si>
    <t>Bhandaria</t>
  </si>
  <si>
    <t>Shahjadpur</t>
  </si>
  <si>
    <t>Kulaura</t>
  </si>
  <si>
    <t>Bhaluka</t>
  </si>
  <si>
    <t>ShahCement</t>
  </si>
  <si>
    <t>Kodda</t>
  </si>
  <si>
    <t>Benapole</t>
  </si>
  <si>
    <t>SevenRings</t>
  </si>
  <si>
    <t>Kishoreganj</t>
  </si>
  <si>
    <t>Beanibazar</t>
  </si>
  <si>
    <t>Savar</t>
  </si>
  <si>
    <t>Khulshi</t>
  </si>
  <si>
    <t>BashundharaCement</t>
  </si>
  <si>
    <t>Satmasjid</t>
  </si>
  <si>
    <t>Bashundhara</t>
  </si>
  <si>
    <t>Satkhira</t>
  </si>
  <si>
    <t>Khagrachori</t>
  </si>
  <si>
    <t>Baroirhat</t>
  </si>
  <si>
    <t>Saidpur</t>
  </si>
  <si>
    <t>Keranigonj</t>
  </si>
  <si>
    <t>Baroaulia</t>
  </si>
  <si>
    <t>SSM</t>
  </si>
  <si>
    <t>Kazla</t>
  </si>
  <si>
    <t>Barishal-230</t>
  </si>
  <si>
    <t>Ruppur</t>
  </si>
  <si>
    <t>Kasba</t>
  </si>
  <si>
    <t>Kaptai</t>
  </si>
  <si>
    <t>Barguna</t>
  </si>
  <si>
    <t>Rangamati</t>
  </si>
  <si>
    <t>Kamrangirchar</t>
  </si>
  <si>
    <t>Barapukuria</t>
  </si>
  <si>
    <t>Rampur</t>
  </si>
  <si>
    <t>Kalurghat</t>
  </si>
  <si>
    <t>Bangabhaban</t>
  </si>
  <si>
    <t>Ramganj</t>
  </si>
  <si>
    <t>Kallyanpur</t>
  </si>
  <si>
    <t>Banani</t>
  </si>
  <si>
    <t>Rajshahi-230</t>
  </si>
  <si>
    <t>Kachua</t>
  </si>
  <si>
    <t>Bakulia</t>
  </si>
  <si>
    <t>Kabirpur</t>
  </si>
  <si>
    <t>Bajitpur</t>
  </si>
  <si>
    <t>Rajendrapur</t>
  </si>
  <si>
    <t>KSRM</t>
  </si>
  <si>
    <t>Bagerhat</t>
  </si>
  <si>
    <t>Rajbari</t>
  </si>
  <si>
    <t>Juldah</t>
  </si>
  <si>
    <t>BSRM</t>
  </si>
  <si>
    <t>Rahim</t>
  </si>
  <si>
    <t>Joypurhat</t>
  </si>
  <si>
    <t>Ashuganj</t>
  </si>
  <si>
    <t>Rahanpur</t>
  </si>
  <si>
    <t>Joydebpur</t>
  </si>
  <si>
    <t>Amnura</t>
  </si>
  <si>
    <t>Purbasadipur</t>
  </si>
  <si>
    <t>Jhenaidah</t>
  </si>
  <si>
    <t>Agrabad</t>
  </si>
  <si>
    <t>Purbachal</t>
  </si>
  <si>
    <t>Jashore</t>
  </si>
  <si>
    <t>Agargaon</t>
  </si>
  <si>
    <t>Postogola</t>
  </si>
  <si>
    <t>Jamalpur</t>
  </si>
  <si>
    <t>Aftabnagar</t>
  </si>
  <si>
    <t>Payra</t>
  </si>
  <si>
    <t>Jaldhaka</t>
  </si>
  <si>
    <t>AKSML</t>
  </si>
  <si>
    <t>Patuakhali</t>
  </si>
  <si>
    <t>Ishurdi</t>
  </si>
  <si>
    <t>AKS</t>
  </si>
  <si>
    <t>Time</t>
  </si>
  <si>
    <t>Load (MW)</t>
  </si>
  <si>
    <t>Sub-station</t>
  </si>
  <si>
    <t>Sl No.</t>
  </si>
  <si>
    <t>System Total Demand at Evening Peak Hour (a + b) =</t>
  </si>
  <si>
    <t xml:space="preserve"> v) Sylhet area</t>
  </si>
  <si>
    <t>iv) Rangpur area</t>
  </si>
  <si>
    <t xml:space="preserve"> iv) Mymensingh area</t>
  </si>
  <si>
    <t>iii) Rajshahi area</t>
  </si>
  <si>
    <t xml:space="preserve"> iii) Cumilla area</t>
  </si>
  <si>
    <t xml:space="preserve"> ii) Barishal area</t>
  </si>
  <si>
    <t xml:space="preserve"> ii) Chattogram area</t>
  </si>
  <si>
    <t xml:space="preserve"> i)  Khulna area</t>
  </si>
  <si>
    <t xml:space="preserve"> i) Dhaka area</t>
  </si>
  <si>
    <t>(b) ENTIRE WESTERN  GRID:</t>
  </si>
  <si>
    <t>(a) ENTIRE EASTERN  GRID:</t>
  </si>
  <si>
    <t>Zone Total Scenario at Evening Peak Hour (21:00 Hr.)</t>
  </si>
  <si>
    <t>MAXIMUM LOAD SERVED BY DIFFERENT GRID SUB-STATIONS</t>
  </si>
  <si>
    <t xml:space="preserve">  Hourly Demand, Generation &amp; Load-Shed Report</t>
  </si>
  <si>
    <t>22:30</t>
  </si>
  <si>
    <t>21:30</t>
  </si>
  <si>
    <t xml:space="preserve">    Executive Engineer </t>
  </si>
  <si>
    <t>20:30</t>
  </si>
  <si>
    <t>16:30</t>
  </si>
  <si>
    <t>14:30</t>
  </si>
  <si>
    <t>13:30</t>
  </si>
  <si>
    <t>12:30</t>
  </si>
  <si>
    <t>11:30</t>
  </si>
  <si>
    <t>10:30</t>
  </si>
  <si>
    <t>09:30</t>
  </si>
  <si>
    <t>07:30</t>
  </si>
  <si>
    <t>06:30</t>
  </si>
  <si>
    <t>05:30</t>
  </si>
  <si>
    <t>04:30</t>
  </si>
  <si>
    <t>03:30</t>
  </si>
  <si>
    <t>02:30</t>
  </si>
  <si>
    <t>01:30</t>
  </si>
  <si>
    <t>00:30</t>
  </si>
  <si>
    <t>DAILY GENERATION CURVE</t>
  </si>
  <si>
    <t>TOTAL</t>
  </si>
  <si>
    <t>WEST GRID</t>
  </si>
  <si>
    <t>EAST GRID</t>
  </si>
  <si>
    <t>TIME</t>
  </si>
  <si>
    <t>Date</t>
  </si>
  <si>
    <t>QF-LDC-11</t>
  </si>
  <si>
    <t xml:space="preserve">     </t>
  </si>
  <si>
    <t xml:space="preserve">MKWHr </t>
  </si>
  <si>
    <t>Total Energy Requirement</t>
  </si>
  <si>
    <t>Energy not Served</t>
  </si>
  <si>
    <t>DAILY  ENERGY  CURVE</t>
  </si>
  <si>
    <t>Shortage</t>
  </si>
  <si>
    <t>HSD-Pvt</t>
  </si>
  <si>
    <t>HSD-Public</t>
  </si>
  <si>
    <t>HFO-Pvt</t>
  </si>
  <si>
    <t>HFO-Public</t>
  </si>
  <si>
    <t>Adani</t>
  </si>
  <si>
    <t>Tripura</t>
  </si>
  <si>
    <t>Nepal</t>
  </si>
  <si>
    <t>HVDC</t>
  </si>
  <si>
    <t>Gas-Pvt</t>
  </si>
  <si>
    <t>Gas-Public</t>
  </si>
  <si>
    <t>QF-LDC-12</t>
  </si>
  <si>
    <t xml:space="preserve">    Sub Divisional Engineer</t>
  </si>
  <si>
    <t xml:space="preserve">    Sub Assistant Engineer</t>
  </si>
  <si>
    <t>Khulna(S)</t>
  </si>
  <si>
    <t>Kaliakoir</t>
  </si>
  <si>
    <t>Jhenaidah-230</t>
  </si>
  <si>
    <t>Shyampur-230</t>
  </si>
  <si>
    <t>Shikalbaha-230</t>
  </si>
  <si>
    <t>Haripur</t>
  </si>
  <si>
    <t>Gopalganj-400</t>
  </si>
  <si>
    <t>Rampura</t>
  </si>
  <si>
    <t>Rahanpur-400</t>
  </si>
  <si>
    <t>KV</t>
  </si>
  <si>
    <t>132 kV</t>
  </si>
  <si>
    <t>Bogura-230</t>
  </si>
  <si>
    <t>Bheramara</t>
  </si>
  <si>
    <t>Aminbazar</t>
  </si>
  <si>
    <t>Sirajgonj</t>
  </si>
  <si>
    <t>Bogura-400</t>
  </si>
  <si>
    <t>BIPTC</t>
  </si>
  <si>
    <t>Bibiana</t>
  </si>
  <si>
    <t>Rampal</t>
  </si>
  <si>
    <t>Barapukuria-230</t>
  </si>
  <si>
    <t>Meghnaghat-400</t>
  </si>
  <si>
    <t>Meghnaghat</t>
  </si>
  <si>
    <t>Baghabari</t>
  </si>
  <si>
    <t>Ashuganj-400</t>
  </si>
  <si>
    <t>Madunaghat-400</t>
  </si>
  <si>
    <t>230 kV</t>
  </si>
  <si>
    <t>400 kV</t>
  </si>
  <si>
    <t>Minimum Voltage</t>
  </si>
  <si>
    <t>Maximum Voltage</t>
  </si>
  <si>
    <t>Substation</t>
  </si>
  <si>
    <t xml:space="preserve">Date: </t>
  </si>
  <si>
    <t>Maximum &amp; Minimum Voltages of Grid Sub-Stations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</si>
</sst>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/dd/yy;@"/>
    <numFmt numFmtId="165" formatCode="[$-809]dd\ mmmm\ yyyy;@"/>
    <numFmt numFmtId="166" formatCode="0.0"/>
    <numFmt numFmtId="167" formatCode="[$-409]dd\-mmm\-yy;@"/>
    <numFmt numFmtId="168" formatCode="0.0%"/>
    <numFmt numFmtId="169" formatCode="[$-5000445]0"/>
    <numFmt numFmtId="170" formatCode="yyyy\-mm\-dd\ h:mm:ss"/>
    <numFmt numFmtId="171" formatCode="0.00000"/>
    <numFmt numFmtId="172" formatCode="0.00000000"/>
    <numFmt numFmtId="173" formatCode="d\-mmm\-yyyy"/>
  </numFmts>
  <fonts count="8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rgb="FF000000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30"/>
      <name val="Arial"/>
      <family val="2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sz val="22"/>
      <name val="Arial"/>
      <family val="2"/>
    </font>
    <font>
      <sz val="22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13"/>
      <color indexed="8"/>
      <name val="Arial"/>
      <family val="2"/>
    </font>
    <font>
      <sz val="16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7"/>
      <color indexed="8"/>
      <name val="Arial"/>
      <family val="2"/>
    </font>
    <font>
      <b/>
      <sz val="24"/>
      <color indexed="8"/>
      <name val="Arial"/>
      <family val="2"/>
    </font>
    <font>
      <b/>
      <sz val="34"/>
      <color indexed="8"/>
      <name val="Arial"/>
      <family val="2"/>
    </font>
    <font>
      <b/>
      <sz val="18"/>
      <color indexed="8"/>
      <name val="Arial"/>
      <family val="2"/>
    </font>
    <font>
      <b/>
      <sz val="30"/>
      <color indexed="8"/>
      <name val="Arial"/>
      <family val="2"/>
    </font>
    <font>
      <b/>
      <sz val="45"/>
      <color indexed="8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20"/>
      <name val="Arial"/>
      <family val="2"/>
    </font>
    <font>
      <b/>
      <i/>
      <sz val="14"/>
      <name val="Arial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sz val="22"/>
      <color theme="1"/>
      <name val="Arial"/>
      <family val="2"/>
    </font>
    <font>
      <b/>
      <sz val="22"/>
      <color theme="1"/>
      <name val="Arial"/>
      <family val="2"/>
    </font>
    <font>
      <b/>
      <sz val="22"/>
      <name val="Arial"/>
      <family val="2"/>
    </font>
    <font>
      <b/>
      <sz val="26"/>
      <name val="Arial"/>
      <family val="2"/>
    </font>
    <font>
      <b/>
      <sz val="32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i/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6"/>
      <color theme="1"/>
      <name val="Arial"/>
      <family val="2"/>
    </font>
    <font>
      <b/>
      <sz val="10"/>
      <color rgb="FF993300"/>
      <name val="Arial"/>
      <family val="2"/>
    </font>
    <font>
      <b/>
      <sz val="20"/>
      <color theme="1"/>
      <name val="Arial"/>
      <family val="2"/>
    </font>
    <font>
      <b/>
      <sz val="12"/>
      <color indexed="8"/>
      <name val="Arial"/>
      <family val="2"/>
    </font>
    <font>
      <b/>
      <sz val="16"/>
      <color rgb="FF000000"/>
      <name val="Arial"/>
      <family val="2"/>
    </font>
    <font>
      <b/>
      <sz val="20"/>
      <color rgb="FF000000"/>
      <name val="Arial"/>
      <family val="2"/>
    </font>
    <font>
      <b/>
      <sz val="10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5">
    <xf numFmtId="0" fontId="0" fillId="0" borderId="0"/>
    <xf numFmtId="0" fontId="2" fillId="0" borderId="0"/>
    <xf numFmtId="0" fontId="2" fillId="0" borderId="0"/>
    <xf numFmtId="0" fontId="2" fillId="0" borderId="0">
      <alignment vertical="center"/>
    </xf>
    <xf numFmtId="164" fontId="1" fillId="0" borderId="0"/>
    <xf numFmtId="165" fontId="1" fillId="0" borderId="0"/>
    <xf numFmtId="166" fontId="1" fillId="0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2" fillId="0" borderId="0"/>
    <xf numFmtId="0" fontId="2" fillId="0" borderId="0"/>
    <xf numFmtId="0" fontId="2" fillId="0" borderId="0"/>
    <xf numFmtId="167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7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20" fillId="0" borderId="0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4" fontId="1" fillId="0" borderId="0"/>
    <xf numFmtId="166" fontId="1" fillId="0" borderId="0"/>
    <xf numFmtId="0" fontId="2" fillId="0" borderId="0"/>
    <xf numFmtId="0" fontId="25" fillId="0" borderId="0"/>
    <xf numFmtId="2" fontId="6" fillId="0" borderId="0">
      <alignment horizontal="center" vertical="center"/>
    </xf>
    <xf numFmtId="171" fontId="6" fillId="0" borderId="0">
      <alignment horizontal="center" vertical="center"/>
    </xf>
    <xf numFmtId="0" fontId="1" fillId="0" borderId="0"/>
  </cellStyleXfs>
  <cellXfs count="314">
    <xf numFmtId="0" fontId="0" fillId="0" borderId="0" xfId="0"/>
    <xf numFmtId="0" fontId="6" fillId="0" borderId="0" xfId="3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0" applyFont="1"/>
    <xf numFmtId="0" fontId="6" fillId="0" borderId="0" xfId="1" applyFont="1" applyAlignment="1">
      <alignment vertical="center"/>
    </xf>
    <xf numFmtId="0" fontId="5" fillId="0" borderId="0" xfId="3" applyFont="1" applyAlignment="1">
      <alignment horizontal="right" vertical="center"/>
    </xf>
    <xf numFmtId="0" fontId="5" fillId="0" borderId="13" xfId="2" applyFont="1" applyBorder="1" applyAlignment="1">
      <alignment horizontal="center" vertical="center"/>
    </xf>
    <xf numFmtId="20" fontId="5" fillId="0" borderId="0" xfId="3" applyNumberFormat="1" applyFont="1" applyAlignment="1">
      <alignment horizontal="right" vertical="center"/>
    </xf>
    <xf numFmtId="0" fontId="26" fillId="0" borderId="13" xfId="2" applyFont="1" applyBorder="1" applyAlignment="1">
      <alignment horizontal="center" vertical="center"/>
    </xf>
    <xf numFmtId="0" fontId="27" fillId="0" borderId="17" xfId="2" applyFont="1" applyBorder="1" applyAlignment="1">
      <alignment horizontal="center" vertical="center"/>
    </xf>
    <xf numFmtId="0" fontId="27" fillId="0" borderId="17" xfId="2" applyFont="1" applyBorder="1" applyAlignment="1">
      <alignment horizontal="center" vertical="center" wrapText="1"/>
    </xf>
    <xf numFmtId="0" fontId="27" fillId="0" borderId="16" xfId="2" applyFont="1" applyBorder="1" applyAlignment="1">
      <alignment horizontal="center" vertical="center" wrapText="1"/>
    </xf>
    <xf numFmtId="15" fontId="27" fillId="0" borderId="16" xfId="2" applyNumberFormat="1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28" fillId="0" borderId="0" xfId="0" applyFont="1"/>
    <xf numFmtId="0" fontId="28" fillId="0" borderId="14" xfId="0" applyFont="1" applyBorder="1"/>
    <xf numFmtId="0" fontId="28" fillId="0" borderId="1" xfId="0" applyFont="1" applyBorder="1"/>
    <xf numFmtId="0" fontId="29" fillId="0" borderId="13" xfId="0" applyFont="1" applyBorder="1" applyAlignment="1">
      <alignment horizontal="center" vertical="center"/>
    </xf>
    <xf numFmtId="0" fontId="33" fillId="0" borderId="0" xfId="0" applyFont="1"/>
    <xf numFmtId="20" fontId="36" fillId="0" borderId="13" xfId="0" applyNumberFormat="1" applyFont="1" applyBorder="1" applyAlignment="1">
      <alignment horizontal="center" vertical="center"/>
    </xf>
    <xf numFmtId="0" fontId="40" fillId="0" borderId="0" xfId="0" applyFont="1"/>
    <xf numFmtId="0" fontId="30" fillId="0" borderId="13" xfId="0" applyFont="1" applyBorder="1" applyAlignment="1">
      <alignment horizontal="center" vertical="center"/>
    </xf>
    <xf numFmtId="0" fontId="37" fillId="0" borderId="23" xfId="2" applyFont="1" applyBorder="1" applyAlignment="1">
      <alignment horizontal="center" vertical="center" wrapText="1"/>
    </xf>
    <xf numFmtId="0" fontId="27" fillId="0" borderId="13" xfId="2" applyFont="1" applyBorder="1" applyAlignment="1">
      <alignment horizontal="center" vertical="center" wrapText="1"/>
    </xf>
    <xf numFmtId="0" fontId="27" fillId="0" borderId="13" xfId="2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42" fillId="0" borderId="28" xfId="0" applyFont="1" applyBorder="1" applyAlignment="1">
      <alignment horizontal="left" vertical="center"/>
    </xf>
    <xf numFmtId="0" fontId="42" fillId="24" borderId="28" xfId="0" applyFont="1" applyFill="1" applyBorder="1" applyAlignment="1">
      <alignment horizontal="center" vertical="center"/>
    </xf>
    <xf numFmtId="0" fontId="42" fillId="24" borderId="28" xfId="0" applyFont="1" applyFill="1" applyBorder="1" applyAlignment="1">
      <alignment horizontal="left" vertical="center"/>
    </xf>
    <xf numFmtId="0" fontId="43" fillId="0" borderId="28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15" fontId="5" fillId="0" borderId="0" xfId="3" applyNumberFormat="1" applyFont="1" applyAlignment="1">
      <alignment horizontal="center" vertical="center"/>
    </xf>
    <xf numFmtId="0" fontId="44" fillId="0" borderId="0" xfId="393" applyFont="1"/>
    <xf numFmtId="0" fontId="44" fillId="0" borderId="1" xfId="393" applyFont="1" applyBorder="1"/>
    <xf numFmtId="0" fontId="44" fillId="0" borderId="0" xfId="393" applyFont="1" applyAlignment="1">
      <alignment textRotation="90"/>
    </xf>
    <xf numFmtId="0" fontId="48" fillId="0" borderId="0" xfId="393" applyFont="1"/>
    <xf numFmtId="0" fontId="48" fillId="0" borderId="0" xfId="393" applyFont="1" applyAlignment="1">
      <alignment horizontal="center" vertical="center"/>
    </xf>
    <xf numFmtId="0" fontId="46" fillId="0" borderId="15" xfId="393" applyFont="1" applyBorder="1" applyAlignment="1">
      <alignment horizontal="center" vertical="center" wrapText="1"/>
    </xf>
    <xf numFmtId="0" fontId="48" fillId="0" borderId="15" xfId="393" applyFont="1" applyBorder="1" applyAlignment="1">
      <alignment horizontal="center" vertical="center"/>
    </xf>
    <xf numFmtId="169" fontId="46" fillId="0" borderId="15" xfId="393" applyNumberFormat="1" applyFont="1" applyBorder="1" applyAlignment="1">
      <alignment horizontal="center" vertical="center" wrapText="1"/>
    </xf>
    <xf numFmtId="49" fontId="48" fillId="0" borderId="0" xfId="393" applyNumberFormat="1" applyFont="1" applyAlignment="1">
      <alignment horizontal="center" vertical="center" wrapText="1"/>
    </xf>
    <xf numFmtId="0" fontId="48" fillId="0" borderId="0" xfId="393" applyFont="1" applyAlignment="1">
      <alignment horizontal="center" vertical="center" wrapText="1"/>
    </xf>
    <xf numFmtId="0" fontId="48" fillId="0" borderId="15" xfId="393" applyFont="1" applyBorder="1" applyAlignment="1">
      <alignment horizontal="center" vertical="center" wrapText="1"/>
    </xf>
    <xf numFmtId="0" fontId="48" fillId="0" borderId="12" xfId="393" applyFont="1" applyBorder="1" applyAlignment="1">
      <alignment horizontal="center" vertical="center" wrapText="1"/>
    </xf>
    <xf numFmtId="0" fontId="49" fillId="0" borderId="0" xfId="393" applyFont="1" applyAlignment="1">
      <alignment horizontal="center" vertical="center"/>
    </xf>
    <xf numFmtId="0" fontId="32" fillId="0" borderId="28" xfId="393" applyFont="1" applyBorder="1" applyAlignment="1">
      <alignment horizontal="center" vertical="center" wrapText="1"/>
    </xf>
    <xf numFmtId="0" fontId="42" fillId="0" borderId="28" xfId="393" applyFont="1" applyBorder="1" applyAlignment="1">
      <alignment horizontal="center" vertical="center" wrapText="1"/>
    </xf>
    <xf numFmtId="0" fontId="49" fillId="0" borderId="0" xfId="393" applyFont="1" applyAlignment="1">
      <alignment vertical="center" wrapText="1"/>
    </xf>
    <xf numFmtId="0" fontId="50" fillId="0" borderId="0" xfId="393" applyFont="1" applyAlignment="1">
      <alignment horizontal="center" vertical="center"/>
    </xf>
    <xf numFmtId="0" fontId="51" fillId="0" borderId="0" xfId="393" applyFont="1" applyAlignment="1">
      <alignment horizontal="center"/>
    </xf>
    <xf numFmtId="0" fontId="49" fillId="0" borderId="0" xfId="393" applyFont="1" applyAlignment="1">
      <alignment vertical="center"/>
    </xf>
    <xf numFmtId="0" fontId="47" fillId="0" borderId="0" xfId="393" applyFont="1" applyAlignment="1">
      <alignment horizontal="center" vertical="center"/>
    </xf>
    <xf numFmtId="0" fontId="47" fillId="0" borderId="0" xfId="393" applyFont="1" applyAlignment="1">
      <alignment vertical="center"/>
    </xf>
    <xf numFmtId="0" fontId="47" fillId="0" borderId="0" xfId="393" applyFont="1" applyAlignment="1">
      <alignment horizontal="left" vertical="center"/>
    </xf>
    <xf numFmtId="0" fontId="52" fillId="0" borderId="0" xfId="393" applyFont="1" applyAlignment="1">
      <alignment vertical="center"/>
    </xf>
    <xf numFmtId="0" fontId="54" fillId="0" borderId="0" xfId="393" applyFont="1" applyAlignment="1">
      <alignment vertical="center"/>
    </xf>
    <xf numFmtId="0" fontId="52" fillId="0" borderId="0" xfId="393" applyFont="1"/>
    <xf numFmtId="0" fontId="55" fillId="0" borderId="0" xfId="393" applyFont="1" applyAlignment="1">
      <alignment vertical="center"/>
    </xf>
    <xf numFmtId="0" fontId="38" fillId="0" borderId="13" xfId="0" applyFont="1" applyBorder="1" applyAlignment="1">
      <alignment horizontal="center"/>
    </xf>
    <xf numFmtId="0" fontId="0" fillId="0" borderId="17" xfId="0" applyBorder="1"/>
    <xf numFmtId="0" fontId="4" fillId="0" borderId="0" xfId="0" applyFont="1" applyAlignment="1">
      <alignment horizontal="center"/>
    </xf>
    <xf numFmtId="0" fontId="0" fillId="0" borderId="0" xfId="0"/>
    <xf numFmtId="0" fontId="27" fillId="0" borderId="13" xfId="2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 wrapText="1"/>
    </xf>
    <xf numFmtId="0" fontId="0" fillId="0" borderId="15" xfId="0" applyBorder="1"/>
    <xf numFmtId="0" fontId="0" fillId="0" borderId="23" xfId="0" applyBorder="1"/>
    <xf numFmtId="0" fontId="27" fillId="0" borderId="25" xfId="2" applyFont="1" applyBorder="1" applyAlignment="1">
      <alignment horizontal="center" vertical="center" wrapText="1"/>
    </xf>
    <xf numFmtId="0" fontId="0" fillId="0" borderId="18" xfId="0" applyBorder="1"/>
    <xf numFmtId="0" fontId="35" fillId="0" borderId="0" xfId="1" applyFont="1" applyAlignment="1">
      <alignment horizontal="center" vertical="center"/>
    </xf>
    <xf numFmtId="0" fontId="27" fillId="0" borderId="25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0" fillId="0" borderId="1" xfId="0" applyBorder="1"/>
    <xf numFmtId="0" fontId="0" fillId="0" borderId="26" xfId="0" applyBorder="1"/>
    <xf numFmtId="0" fontId="27" fillId="0" borderId="13" xfId="2" applyFont="1" applyBorder="1" applyAlignment="1">
      <alignment horizontal="center" vertical="center" wrapText="1"/>
    </xf>
    <xf numFmtId="15" fontId="5" fillId="0" borderId="0" xfId="3" applyNumberFormat="1" applyFont="1" applyAlignment="1">
      <alignment horizontal="center" vertical="center"/>
    </xf>
    <xf numFmtId="0" fontId="0" fillId="0" borderId="2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14" fontId="27" fillId="0" borderId="13" xfId="2" applyNumberFormat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7" fillId="0" borderId="23" xfId="2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/>
    </xf>
    <xf numFmtId="0" fontId="0" fillId="0" borderId="22" xfId="0" applyBorder="1"/>
    <xf numFmtId="0" fontId="0" fillId="0" borderId="27" xfId="0" applyBorder="1"/>
    <xf numFmtId="0" fontId="37" fillId="0" borderId="23" xfId="2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0" fillId="0" borderId="13" xfId="0" applyFont="1" applyBorder="1" applyAlignment="1">
      <alignment horizontal="right" vertical="center"/>
    </xf>
    <xf numFmtId="0" fontId="30" fillId="0" borderId="13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2" fillId="0" borderId="13" xfId="0" applyFont="1" applyBorder="1" applyAlignment="1">
      <alignment horizontal="right" vertical="center"/>
    </xf>
    <xf numFmtId="0" fontId="30" fillId="0" borderId="16" xfId="0" applyFon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29" fillId="0" borderId="13" xfId="0" applyFont="1" applyBorder="1" applyAlignment="1">
      <alignment horizontal="center" vertical="center"/>
    </xf>
    <xf numFmtId="0" fontId="30" fillId="0" borderId="13" xfId="0" applyFont="1" applyBorder="1" applyAlignment="1">
      <alignment horizontal="left" vertical="center"/>
    </xf>
    <xf numFmtId="0" fontId="42" fillId="0" borderId="28" xfId="0" applyFont="1" applyBorder="1" applyAlignment="1">
      <alignment horizontal="center" vertical="center"/>
    </xf>
    <xf numFmtId="0" fontId="0" fillId="0" borderId="28" xfId="0" applyBorder="1"/>
    <xf numFmtId="0" fontId="42" fillId="24" borderId="28" xfId="0" applyFont="1" applyFill="1" applyBorder="1" applyAlignment="1">
      <alignment horizontal="center" vertical="center"/>
    </xf>
    <xf numFmtId="0" fontId="43" fillId="0" borderId="28" xfId="0" applyFont="1" applyBorder="1" applyAlignment="1">
      <alignment horizontal="center" vertical="center"/>
    </xf>
    <xf numFmtId="0" fontId="54" fillId="0" borderId="0" xfId="393" applyFont="1" applyAlignment="1">
      <alignment horizontal="center" vertical="center"/>
    </xf>
    <xf numFmtId="0" fontId="44" fillId="0" borderId="0" xfId="393" applyFont="1"/>
    <xf numFmtId="0" fontId="56" fillId="0" borderId="0" xfId="393" applyFont="1" applyAlignment="1">
      <alignment horizontal="center" vertical="center"/>
    </xf>
    <xf numFmtId="0" fontId="53" fillId="0" borderId="0" xfId="393" applyFont="1" applyAlignment="1">
      <alignment horizontal="center" vertical="center"/>
    </xf>
    <xf numFmtId="0" fontId="47" fillId="0" borderId="0" xfId="393" applyFont="1" applyAlignment="1">
      <alignment horizontal="center" vertical="center"/>
    </xf>
    <xf numFmtId="0" fontId="46" fillId="0" borderId="28" xfId="393" applyFont="1" applyBorder="1" applyAlignment="1">
      <alignment horizontal="center" vertical="center" textRotation="90"/>
    </xf>
    <xf numFmtId="0" fontId="20" fillId="0" borderId="28" xfId="393" applyBorder="1"/>
    <xf numFmtId="0" fontId="47" fillId="0" borderId="28" xfId="393" applyFont="1" applyBorder="1" applyAlignment="1">
      <alignment horizontal="center" vertical="center" textRotation="90" wrapText="1"/>
    </xf>
    <xf numFmtId="0" fontId="45" fillId="0" borderId="0" xfId="393" applyFont="1" applyAlignment="1">
      <alignment horizontal="center" vertical="center" textRotation="90" wrapText="1"/>
    </xf>
    <xf numFmtId="0" fontId="44" fillId="0" borderId="0" xfId="393" applyFont="1" applyAlignment="1">
      <alignment textRotation="90"/>
    </xf>
    <xf numFmtId="0" fontId="45" fillId="0" borderId="28" xfId="393" applyFont="1" applyBorder="1" applyAlignment="1">
      <alignment horizontal="center" vertical="center" textRotation="90" wrapText="1"/>
    </xf>
    <xf numFmtId="0" fontId="47" fillId="0" borderId="32" xfId="393" applyFont="1" applyBorder="1" applyAlignment="1">
      <alignment horizontal="center"/>
    </xf>
    <xf numFmtId="0" fontId="20" fillId="0" borderId="31" xfId="393" applyBorder="1"/>
    <xf numFmtId="0" fontId="20" fillId="0" borderId="30" xfId="393" applyBorder="1"/>
    <xf numFmtId="0" fontId="47" fillId="0" borderId="32" xfId="393" applyFont="1" applyBorder="1" applyAlignment="1">
      <alignment horizontal="center" vertical="center"/>
    </xf>
    <xf numFmtId="0" fontId="48" fillId="0" borderId="28" xfId="393" applyFont="1" applyBorder="1" applyAlignment="1">
      <alignment horizontal="center" vertical="center"/>
    </xf>
    <xf numFmtId="0" fontId="20" fillId="0" borderId="29" xfId="393" applyBorder="1"/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/>
    <xf numFmtId="17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6" fillId="0" borderId="3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57" fillId="0" borderId="28" xfId="0" applyFont="1" applyBorder="1" applyAlignment="1">
      <alignment horizontal="center" vertical="center"/>
    </xf>
    <xf numFmtId="0" fontId="57" fillId="0" borderId="28" xfId="0" applyFont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58" fillId="0" borderId="28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28" xfId="0" applyFont="1" applyBorder="1" applyAlignment="1">
      <alignment horizontal="right" vertical="center"/>
    </xf>
    <xf numFmtId="0" fontId="32" fillId="0" borderId="28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8" xfId="0" applyFont="1" applyBorder="1" applyAlignment="1">
      <alignment horizontal="right" vertical="center"/>
    </xf>
    <xf numFmtId="0" fontId="31" fillId="0" borderId="28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57" fillId="0" borderId="38" xfId="0" applyFont="1" applyBorder="1" applyAlignment="1">
      <alignment horizontal="center" vertical="center"/>
    </xf>
    <xf numFmtId="0" fontId="0" fillId="0" borderId="38" xfId="0" applyBorder="1"/>
    <xf numFmtId="0" fontId="57" fillId="0" borderId="38" xfId="0" applyFont="1" applyBorder="1" applyAlignment="1">
      <alignment horizontal="center" vertical="center"/>
    </xf>
    <xf numFmtId="0" fontId="6" fillId="0" borderId="28" xfId="3" applyFont="1" applyBorder="1" applyAlignment="1">
      <alignment horizontal="center" vertical="center"/>
    </xf>
    <xf numFmtId="15" fontId="5" fillId="0" borderId="28" xfId="3" applyNumberFormat="1" applyFont="1" applyBorder="1" applyAlignment="1">
      <alignment horizontal="center" vertical="center"/>
    </xf>
    <xf numFmtId="15" fontId="5" fillId="0" borderId="28" xfId="3" applyNumberFormat="1" applyFont="1" applyBorder="1" applyAlignment="1">
      <alignment horizontal="center" vertical="center"/>
    </xf>
    <xf numFmtId="2" fontId="6" fillId="0" borderId="39" xfId="492" applyBorder="1">
      <alignment horizontal="center" vertical="center"/>
    </xf>
    <xf numFmtId="0" fontId="5" fillId="0" borderId="28" xfId="3" applyFont="1" applyBorder="1" applyAlignment="1">
      <alignment horizontal="center" vertical="center"/>
    </xf>
    <xf numFmtId="0" fontId="6" fillId="0" borderId="28" xfId="3" applyFont="1" applyBorder="1" applyAlignment="1">
      <alignment horizontal="left" vertical="center"/>
    </xf>
    <xf numFmtId="0" fontId="41" fillId="0" borderId="28" xfId="0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1" fontId="6" fillId="0" borderId="12" xfId="3" applyNumberFormat="1" applyFont="1" applyBorder="1" applyAlignment="1">
      <alignment horizontal="center" vertical="center"/>
    </xf>
    <xf numFmtId="0" fontId="6" fillId="0" borderId="28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" fontId="5" fillId="0" borderId="0" xfId="3" applyNumberFormat="1" applyFont="1" applyAlignment="1">
      <alignment horizontal="center" vertical="center"/>
    </xf>
    <xf numFmtId="0" fontId="6" fillId="0" borderId="38" xfId="3" applyFont="1" applyBorder="1" applyAlignment="1">
      <alignment horizontal="center" vertical="center"/>
    </xf>
    <xf numFmtId="1" fontId="6" fillId="0" borderId="17" xfId="3" applyNumberFormat="1" applyFont="1" applyBorder="1" applyAlignment="1">
      <alignment horizontal="center" vertical="center"/>
    </xf>
    <xf numFmtId="171" fontId="6" fillId="0" borderId="22" xfId="3" applyNumberFormat="1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/>
    </xf>
    <xf numFmtId="2" fontId="6" fillId="0" borderId="22" xfId="3" applyNumberFormat="1" applyFont="1" applyBorder="1" applyAlignment="1">
      <alignment horizontal="center" vertical="center"/>
    </xf>
    <xf numFmtId="171" fontId="6" fillId="0" borderId="34" xfId="493" applyBorder="1">
      <alignment horizontal="center" vertical="center"/>
    </xf>
    <xf numFmtId="171" fontId="6" fillId="0" borderId="0" xfId="493">
      <alignment horizontal="center" vertical="center"/>
    </xf>
    <xf numFmtId="0" fontId="57" fillId="0" borderId="40" xfId="0" applyFont="1" applyBorder="1" applyAlignment="1">
      <alignment horizontal="center" vertical="center"/>
    </xf>
    <xf numFmtId="0" fontId="0" fillId="0" borderId="40" xfId="0" applyBorder="1"/>
    <xf numFmtId="15" fontId="5" fillId="0" borderId="40" xfId="3" applyNumberFormat="1" applyFont="1" applyBorder="1" applyAlignment="1">
      <alignment horizontal="center" vertical="center"/>
    </xf>
    <xf numFmtId="20" fontId="5" fillId="0" borderId="0" xfId="3" applyNumberFormat="1" applyFont="1" applyAlignment="1">
      <alignment horizontal="center" vertical="center"/>
    </xf>
    <xf numFmtId="0" fontId="5" fillId="0" borderId="0" xfId="3" applyFont="1">
      <alignment vertical="center"/>
    </xf>
    <xf numFmtId="15" fontId="6" fillId="0" borderId="0" xfId="3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9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0" fillId="0" borderId="39" xfId="0" applyBorder="1"/>
    <xf numFmtId="0" fontId="5" fillId="0" borderId="39" xfId="0" applyFon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60" fillId="0" borderId="39" xfId="0" applyFont="1" applyBorder="1" applyAlignment="1">
      <alignment horizontal="right" vertical="center"/>
    </xf>
    <xf numFmtId="0" fontId="6" fillId="0" borderId="39" xfId="0" applyFont="1" applyBorder="1" applyAlignment="1">
      <alignment horizontal="center" vertical="center"/>
    </xf>
    <xf numFmtId="0" fontId="6" fillId="0" borderId="39" xfId="0" applyFont="1" applyBorder="1" applyAlignment="1">
      <alignment horizontal="left" vertical="center"/>
    </xf>
    <xf numFmtId="0" fontId="2" fillId="0" borderId="0" xfId="3">
      <alignment vertical="center"/>
    </xf>
    <xf numFmtId="14" fontId="5" fillId="0" borderId="41" xfId="2" applyNumberFormat="1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  <xf numFmtId="0" fontId="0" fillId="0" borderId="41" xfId="0" applyBorder="1"/>
    <xf numFmtId="0" fontId="5" fillId="0" borderId="28" xfId="2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6" fillId="0" borderId="0" xfId="3" applyFont="1">
      <alignment vertical="center"/>
    </xf>
    <xf numFmtId="0" fontId="61" fillId="0" borderId="0" xfId="0" applyFont="1"/>
    <xf numFmtId="0" fontId="62" fillId="0" borderId="0" xfId="0" applyFont="1"/>
    <xf numFmtId="0" fontId="63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64" fillId="0" borderId="0" xfId="0" applyFont="1"/>
    <xf numFmtId="0" fontId="65" fillId="0" borderId="0" xfId="0" applyFont="1"/>
    <xf numFmtId="0" fontId="2" fillId="0" borderId="0" xfId="0" applyFont="1" applyAlignment="1">
      <alignment horizontal="left" vertical="center"/>
    </xf>
    <xf numFmtId="0" fontId="64" fillId="0" borderId="0" xfId="0" applyFont="1" applyAlignment="1">
      <alignment horizontal="left" vertical="center"/>
    </xf>
    <xf numFmtId="0" fontId="2" fillId="0" borderId="0" xfId="3" applyAlignment="1">
      <alignment horizontal="left" vertical="center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7" fillId="0" borderId="32" xfId="0" applyFont="1" applyBorder="1" applyAlignment="1">
      <alignment horizontal="center" vertical="center"/>
    </xf>
    <xf numFmtId="0" fontId="57" fillId="0" borderId="32" xfId="0" applyFont="1" applyBorder="1" applyAlignment="1">
      <alignment horizontal="left" vertical="center"/>
    </xf>
    <xf numFmtId="0" fontId="6" fillId="0" borderId="32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41" fillId="25" borderId="32" xfId="0" applyFont="1" applyFill="1" applyBorder="1" applyAlignment="1">
      <alignment horizontal="center" vertical="center" wrapText="1"/>
    </xf>
    <xf numFmtId="0" fontId="5" fillId="0" borderId="42" xfId="3" applyFont="1" applyBorder="1" applyAlignment="1">
      <alignment horizontal="center" vertical="center"/>
    </xf>
    <xf numFmtId="0" fontId="4" fillId="0" borderId="42" xfId="0" applyFont="1" applyBorder="1"/>
    <xf numFmtId="0" fontId="27" fillId="0" borderId="0" xfId="3" applyFont="1">
      <alignment vertical="center"/>
    </xf>
    <xf numFmtId="1" fontId="66" fillId="0" borderId="0" xfId="3" applyNumberFormat="1" applyFont="1">
      <alignment vertical="center"/>
    </xf>
    <xf numFmtId="0" fontId="2" fillId="0" borderId="42" xfId="3" applyBorder="1">
      <alignment vertical="center"/>
    </xf>
    <xf numFmtId="0" fontId="4" fillId="0" borderId="38" xfId="0" applyFont="1" applyBorder="1"/>
    <xf numFmtId="0" fontId="4" fillId="0" borderId="22" xfId="0" applyFont="1" applyBorder="1"/>
    <xf numFmtId="0" fontId="2" fillId="0" borderId="22" xfId="3" applyBorder="1">
      <alignment vertical="center"/>
    </xf>
    <xf numFmtId="0" fontId="5" fillId="0" borderId="22" xfId="3" applyFont="1" applyBorder="1">
      <alignment vertical="center"/>
    </xf>
    <xf numFmtId="1" fontId="5" fillId="0" borderId="22" xfId="3" applyNumberFormat="1" applyFont="1" applyBorder="1" applyAlignment="1">
      <alignment horizontal="right" vertical="center"/>
    </xf>
    <xf numFmtId="0" fontId="6" fillId="0" borderId="16" xfId="3" applyFont="1" applyBorder="1" applyAlignment="1">
      <alignment horizontal="right" vertical="center"/>
    </xf>
    <xf numFmtId="0" fontId="5" fillId="0" borderId="17" xfId="3" applyFont="1" applyBorder="1" applyAlignment="1">
      <alignment horizontal="center" vertical="center"/>
    </xf>
    <xf numFmtId="1" fontId="4" fillId="0" borderId="22" xfId="0" applyNumberFormat="1" applyFont="1" applyBorder="1"/>
    <xf numFmtId="0" fontId="42" fillId="0" borderId="28" xfId="3" applyFont="1" applyBorder="1" applyAlignment="1">
      <alignment horizontal="center" vertical="center"/>
    </xf>
    <xf numFmtId="0" fontId="6" fillId="0" borderId="17" xfId="3" applyFont="1" applyBorder="1">
      <alignment vertical="center"/>
    </xf>
    <xf numFmtId="1" fontId="57" fillId="0" borderId="17" xfId="0" applyNumberFormat="1" applyFont="1" applyBorder="1" applyAlignment="1">
      <alignment horizontal="right" vertical="center"/>
    </xf>
    <xf numFmtId="0" fontId="57" fillId="0" borderId="17" xfId="0" applyFont="1" applyBorder="1"/>
    <xf numFmtId="1" fontId="6" fillId="0" borderId="22" xfId="3" applyNumberFormat="1" applyFont="1" applyBorder="1" applyAlignment="1">
      <alignment horizontal="right" vertical="center"/>
    </xf>
    <xf numFmtId="1" fontId="6" fillId="0" borderId="17" xfId="3" applyNumberFormat="1" applyFont="1" applyBorder="1" applyAlignment="1">
      <alignment horizontal="left" vertical="center"/>
    </xf>
    <xf numFmtId="0" fontId="57" fillId="0" borderId="17" xfId="0" applyFont="1" applyBorder="1" applyAlignment="1">
      <alignment horizontal="right" vertical="center"/>
    </xf>
    <xf numFmtId="0" fontId="41" fillId="0" borderId="17" xfId="0" applyFont="1" applyBorder="1"/>
    <xf numFmtId="1" fontId="41" fillId="0" borderId="22" xfId="0" applyNumberFormat="1" applyFont="1" applyBorder="1" applyAlignment="1">
      <alignment horizontal="right" vertical="center"/>
    </xf>
    <xf numFmtId="0" fontId="5" fillId="0" borderId="16" xfId="3" applyFont="1" applyBorder="1" applyAlignment="1">
      <alignment horizontal="left" vertical="center"/>
    </xf>
    <xf numFmtId="0" fontId="5" fillId="0" borderId="17" xfId="3" applyFont="1" applyBorder="1">
      <alignment vertical="center"/>
    </xf>
    <xf numFmtId="1" fontId="41" fillId="0" borderId="22" xfId="0" applyNumberFormat="1" applyFont="1" applyBorder="1" applyAlignment="1">
      <alignment horizontal="right" vertical="center"/>
    </xf>
    <xf numFmtId="0" fontId="0" fillId="0" borderId="40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67" fillId="0" borderId="0" xfId="0" applyFont="1" applyAlignment="1">
      <alignment horizontal="center" vertical="center"/>
    </xf>
    <xf numFmtId="0" fontId="57" fillId="0" borderId="0" xfId="0" applyFont="1"/>
    <xf numFmtId="0" fontId="67" fillId="0" borderId="28" xfId="0" applyFont="1" applyBorder="1" applyAlignment="1">
      <alignment horizontal="center" vertical="center"/>
    </xf>
    <xf numFmtId="20" fontId="68" fillId="0" borderId="28" xfId="0" applyNumberFormat="1" applyFont="1" applyBorder="1" applyAlignment="1">
      <alignment horizontal="center" vertical="center"/>
    </xf>
    <xf numFmtId="0" fontId="69" fillId="0" borderId="28" xfId="2" applyFont="1" applyBorder="1" applyAlignment="1">
      <alignment horizontal="center" vertical="center" wrapText="1"/>
    </xf>
    <xf numFmtId="0" fontId="69" fillId="0" borderId="28" xfId="2" applyFont="1" applyBorder="1" applyAlignment="1">
      <alignment horizontal="center" vertical="center"/>
    </xf>
    <xf numFmtId="0" fontId="69" fillId="0" borderId="28" xfId="2" applyFont="1" applyBorder="1" applyAlignment="1">
      <alignment horizontal="center" vertical="center" wrapText="1"/>
    </xf>
    <xf numFmtId="15" fontId="69" fillId="0" borderId="0" xfId="3" applyNumberFormat="1" applyFont="1" applyAlignment="1">
      <alignment horizontal="center" vertical="center"/>
    </xf>
    <xf numFmtId="20" fontId="69" fillId="0" borderId="0" xfId="3" applyNumberFormat="1" applyFont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70" fillId="0" borderId="0" xfId="1" applyFont="1" applyAlignment="1">
      <alignment horizontal="center" vertical="center"/>
    </xf>
    <xf numFmtId="0" fontId="71" fillId="0" borderId="0" xfId="1" applyFont="1" applyAlignment="1">
      <alignment horizontal="center" vertical="center"/>
    </xf>
    <xf numFmtId="2" fontId="2" fillId="26" borderId="43" xfId="1" applyNumberFormat="1" applyFill="1" applyBorder="1" applyAlignment="1">
      <alignment horizontal="center" vertical="center"/>
    </xf>
    <xf numFmtId="2" fontId="2" fillId="27" borderId="32" xfId="1" applyNumberFormat="1" applyFill="1" applyBorder="1" applyAlignment="1">
      <alignment horizontal="left" vertical="center"/>
    </xf>
    <xf numFmtId="2" fontId="2" fillId="28" borderId="32" xfId="1" applyNumberFormat="1" applyFill="1" applyBorder="1" applyAlignment="1">
      <alignment horizontal="left" vertical="center"/>
    </xf>
    <xf numFmtId="20" fontId="72" fillId="29" borderId="44" xfId="1" quotePrefix="1" applyNumberFormat="1" applyFont="1" applyFill="1" applyBorder="1" applyAlignment="1">
      <alignment horizontal="center" vertical="center"/>
    </xf>
    <xf numFmtId="2" fontId="73" fillId="27" borderId="32" xfId="1" applyNumberFormat="1" applyFont="1" applyFill="1" applyBorder="1" applyAlignment="1">
      <alignment vertical="center"/>
    </xf>
    <xf numFmtId="2" fontId="73" fillId="28" borderId="32" xfId="1" applyNumberFormat="1" applyFont="1" applyFill="1" applyBorder="1" applyAlignment="1">
      <alignment vertical="center"/>
    </xf>
    <xf numFmtId="0" fontId="74" fillId="0" borderId="0" xfId="0" applyFont="1" applyAlignment="1">
      <alignment horizontal="center"/>
    </xf>
    <xf numFmtId="2" fontId="73" fillId="27" borderId="32" xfId="1" applyNumberFormat="1" applyFont="1" applyFill="1" applyBorder="1" applyAlignment="1">
      <alignment horizontal="right" vertical="center"/>
    </xf>
    <xf numFmtId="2" fontId="73" fillId="28" borderId="32" xfId="1" applyNumberFormat="1" applyFont="1" applyFill="1" applyBorder="1" applyAlignment="1">
      <alignment horizontal="right" vertical="center"/>
    </xf>
    <xf numFmtId="0" fontId="58" fillId="0" borderId="0" xfId="0" applyFont="1"/>
    <xf numFmtId="0" fontId="41" fillId="0" borderId="0" xfId="0" applyFont="1"/>
    <xf numFmtId="0" fontId="74" fillId="0" borderId="0" xfId="0" applyFont="1" applyAlignment="1">
      <alignment horizontal="center" vertical="center"/>
    </xf>
    <xf numFmtId="0" fontId="75" fillId="0" borderId="0" xfId="1" applyFont="1"/>
    <xf numFmtId="0" fontId="76" fillId="0" borderId="0" xfId="1" applyFont="1"/>
    <xf numFmtId="165" fontId="75" fillId="0" borderId="0" xfId="1" applyNumberFormat="1" applyFont="1"/>
    <xf numFmtId="0" fontId="77" fillId="0" borderId="0" xfId="0" applyFont="1" applyAlignment="1">
      <alignment horizontal="center" vertical="center"/>
    </xf>
    <xf numFmtId="0" fontId="72" fillId="26" borderId="43" xfId="1" applyFont="1" applyFill="1" applyBorder="1" applyAlignment="1">
      <alignment horizontal="center" vertical="center"/>
    </xf>
    <xf numFmtId="0" fontId="72" fillId="27" borderId="32" xfId="1" applyFont="1" applyFill="1" applyBorder="1" applyAlignment="1">
      <alignment horizontal="center" vertical="center"/>
    </xf>
    <xf numFmtId="0" fontId="72" fillId="28" borderId="32" xfId="1" applyFont="1" applyFill="1" applyBorder="1" applyAlignment="1">
      <alignment horizontal="center" vertical="center"/>
    </xf>
    <xf numFmtId="0" fontId="78" fillId="29" borderId="44" xfId="1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2" fillId="0" borderId="0" xfId="1"/>
    <xf numFmtId="0" fontId="72" fillId="0" borderId="0" xfId="1" applyFont="1" applyAlignment="1">
      <alignment horizontal="center" vertical="center"/>
    </xf>
    <xf numFmtId="0" fontId="66" fillId="0" borderId="0" xfId="1" applyFont="1" applyAlignment="1">
      <alignment horizontal="center" vertical="center"/>
    </xf>
    <xf numFmtId="0" fontId="49" fillId="0" borderId="0" xfId="1" applyFont="1" applyAlignment="1">
      <alignment horizontal="left"/>
    </xf>
    <xf numFmtId="0" fontId="80" fillId="0" borderId="0" xfId="1" applyFont="1"/>
    <xf numFmtId="2" fontId="2" fillId="27" borderId="45" xfId="1" applyNumberFormat="1" applyFill="1" applyBorder="1" applyAlignment="1">
      <alignment horizontal="left" vertical="center"/>
    </xf>
    <xf numFmtId="2" fontId="73" fillId="27" borderId="45" xfId="1" applyNumberFormat="1" applyFont="1" applyFill="1" applyBorder="1" applyAlignment="1">
      <alignment vertical="center"/>
    </xf>
    <xf numFmtId="2" fontId="73" fillId="27" borderId="45" xfId="1" applyNumberFormat="1" applyFont="1" applyFill="1" applyBorder="1" applyAlignment="1">
      <alignment horizontal="right" vertical="center"/>
    </xf>
    <xf numFmtId="0" fontId="0" fillId="0" borderId="30" xfId="0" applyBorder="1"/>
    <xf numFmtId="0" fontId="58" fillId="0" borderId="32" xfId="0" applyFont="1" applyBorder="1" applyAlignment="1">
      <alignment horizontal="center"/>
    </xf>
    <xf numFmtId="0" fontId="0" fillId="0" borderId="31" xfId="0" applyBorder="1"/>
    <xf numFmtId="172" fontId="58" fillId="0" borderId="32" xfId="0" applyNumberFormat="1" applyFont="1" applyBorder="1" applyAlignment="1">
      <alignment horizontal="center" vertical="center"/>
    </xf>
    <xf numFmtId="172" fontId="58" fillId="0" borderId="32" xfId="0" applyNumberFormat="1" applyFont="1" applyBorder="1" applyAlignment="1">
      <alignment horizontal="right" vertical="center"/>
    </xf>
    <xf numFmtId="0" fontId="72" fillId="27" borderId="45" xfId="1" applyFont="1" applyFill="1" applyBorder="1" applyAlignment="1">
      <alignment horizontal="center" vertical="center"/>
    </xf>
    <xf numFmtId="0" fontId="25" fillId="0" borderId="0" xfId="491"/>
    <xf numFmtId="0" fontId="41" fillId="0" borderId="0" xfId="494" applyFont="1"/>
    <xf numFmtId="0" fontId="57" fillId="0" borderId="0" xfId="494" applyFont="1"/>
    <xf numFmtId="0" fontId="5" fillId="0" borderId="0" xfId="494" applyFont="1" applyAlignment="1" applyProtection="1">
      <alignment vertical="center"/>
      <protection locked="0"/>
    </xf>
    <xf numFmtId="0" fontId="5" fillId="0" borderId="0" xfId="494" applyFont="1" applyAlignment="1">
      <alignment horizontal="left" vertical="center"/>
    </xf>
    <xf numFmtId="0" fontId="30" fillId="0" borderId="32" xfId="491" applyFont="1" applyBorder="1" applyAlignment="1">
      <alignment horizontal="center" vertical="center"/>
    </xf>
    <xf numFmtId="22" fontId="30" fillId="0" borderId="32" xfId="491" applyNumberFormat="1" applyFont="1" applyBorder="1" applyAlignment="1">
      <alignment horizontal="center" vertical="center"/>
    </xf>
    <xf numFmtId="0" fontId="31" fillId="0" borderId="32" xfId="491" applyFont="1" applyBorder="1" applyAlignment="1">
      <alignment horizontal="left" vertical="center"/>
    </xf>
    <xf numFmtId="0" fontId="31" fillId="30" borderId="32" xfId="491" applyFont="1" applyFill="1" applyBorder="1" applyAlignment="1">
      <alignment horizontal="center" vertical="center"/>
    </xf>
    <xf numFmtId="20" fontId="30" fillId="0" borderId="32" xfId="491" applyNumberFormat="1" applyFont="1" applyBorder="1" applyAlignment="1">
      <alignment horizontal="center" vertical="center"/>
    </xf>
    <xf numFmtId="0" fontId="25" fillId="0" borderId="0" xfId="491" applyAlignment="1">
      <alignment horizontal="center" wrapText="1"/>
    </xf>
    <xf numFmtId="0" fontId="31" fillId="25" borderId="32" xfId="491" applyFont="1" applyFill="1" applyBorder="1" applyAlignment="1">
      <alignment horizontal="center" vertical="center" wrapText="1"/>
    </xf>
    <xf numFmtId="0" fontId="31" fillId="25" borderId="32" xfId="491" applyFont="1" applyFill="1" applyBorder="1" applyAlignment="1">
      <alignment horizontal="center" wrapText="1"/>
    </xf>
    <xf numFmtId="0" fontId="25" fillId="0" borderId="46" xfId="491" applyBorder="1"/>
    <xf numFmtId="0" fontId="25" fillId="0" borderId="46" xfId="491" applyBorder="1"/>
    <xf numFmtId="173" fontId="31" fillId="0" borderId="46" xfId="491" applyNumberFormat="1" applyFont="1" applyBorder="1" applyAlignment="1">
      <alignment horizontal="left" vertical="center"/>
    </xf>
    <xf numFmtId="0" fontId="31" fillId="0" borderId="46" xfId="491" applyFont="1" applyBorder="1" applyAlignment="1">
      <alignment horizontal="right"/>
    </xf>
    <xf numFmtId="0" fontId="25" fillId="0" borderId="0" xfId="491"/>
    <xf numFmtId="0" fontId="81" fillId="0" borderId="0" xfId="491" applyFont="1" applyAlignment="1">
      <alignment horizontal="center"/>
    </xf>
    <xf numFmtId="0" fontId="82" fillId="0" borderId="0" xfId="491" applyFont="1" applyAlignment="1">
      <alignment horizontal="center"/>
    </xf>
    <xf numFmtId="0" fontId="31" fillId="0" borderId="0" xfId="491" applyFont="1" applyAlignment="1">
      <alignment horizontal="center" vertical="center"/>
    </xf>
    <xf numFmtId="0" fontId="83" fillId="0" borderId="0" xfId="491" applyFont="1"/>
  </cellXfs>
  <cellStyles count="495">
    <cellStyle name="20% - Accent1 10" xfId="7" xr:uid="{00000000-0005-0000-0000-000007000000}"/>
    <cellStyle name="20% - Accent1 11" xfId="8" xr:uid="{00000000-0005-0000-0000-000008000000}"/>
    <cellStyle name="20% - Accent1 2" xfId="9" xr:uid="{00000000-0005-0000-0000-000009000000}"/>
    <cellStyle name="20% - Accent1 3" xfId="10" xr:uid="{00000000-0005-0000-0000-00000A000000}"/>
    <cellStyle name="20% - Accent1 4" xfId="11" xr:uid="{00000000-0005-0000-0000-00000B000000}"/>
    <cellStyle name="20% - Accent1 5" xfId="12" xr:uid="{00000000-0005-0000-0000-00000C000000}"/>
    <cellStyle name="20% - Accent1 6" xfId="13" xr:uid="{00000000-0005-0000-0000-00000D000000}"/>
    <cellStyle name="20% - Accent1 7" xfId="14" xr:uid="{00000000-0005-0000-0000-00000E000000}"/>
    <cellStyle name="20% - Accent1 8" xfId="15" xr:uid="{00000000-0005-0000-0000-00000F000000}"/>
    <cellStyle name="20% - Accent1 9" xfId="16" xr:uid="{00000000-0005-0000-0000-000010000000}"/>
    <cellStyle name="20% - Accent2 10" xfId="17" xr:uid="{00000000-0005-0000-0000-000011000000}"/>
    <cellStyle name="20% - Accent2 11" xfId="18" xr:uid="{00000000-0005-0000-0000-000012000000}"/>
    <cellStyle name="20% - Accent2 2" xfId="19" xr:uid="{00000000-0005-0000-0000-000013000000}"/>
    <cellStyle name="20% - Accent2 3" xfId="20" xr:uid="{00000000-0005-0000-0000-000014000000}"/>
    <cellStyle name="20% - Accent2 4" xfId="21" xr:uid="{00000000-0005-0000-0000-000015000000}"/>
    <cellStyle name="20% - Accent2 5" xfId="22" xr:uid="{00000000-0005-0000-0000-000016000000}"/>
    <cellStyle name="20% - Accent2 6" xfId="23" xr:uid="{00000000-0005-0000-0000-000017000000}"/>
    <cellStyle name="20% - Accent2 7" xfId="24" xr:uid="{00000000-0005-0000-0000-000018000000}"/>
    <cellStyle name="20% - Accent2 8" xfId="25" xr:uid="{00000000-0005-0000-0000-000019000000}"/>
    <cellStyle name="20% - Accent2 9" xfId="26" xr:uid="{00000000-0005-0000-0000-00001A000000}"/>
    <cellStyle name="20% - Accent3 10" xfId="27" xr:uid="{00000000-0005-0000-0000-00001B000000}"/>
    <cellStyle name="20% - Accent3 11" xfId="28" xr:uid="{00000000-0005-0000-0000-00001C000000}"/>
    <cellStyle name="20% - Accent3 2" xfId="29" xr:uid="{00000000-0005-0000-0000-00001D000000}"/>
    <cellStyle name="20% - Accent3 3" xfId="30" xr:uid="{00000000-0005-0000-0000-00001E000000}"/>
    <cellStyle name="20% - Accent3 4" xfId="31" xr:uid="{00000000-0005-0000-0000-00001F000000}"/>
    <cellStyle name="20% - Accent3 5" xfId="32" xr:uid="{00000000-0005-0000-0000-000020000000}"/>
    <cellStyle name="20% - Accent3 6" xfId="33" xr:uid="{00000000-0005-0000-0000-000021000000}"/>
    <cellStyle name="20% - Accent3 7" xfId="34" xr:uid="{00000000-0005-0000-0000-000022000000}"/>
    <cellStyle name="20% - Accent3 8" xfId="35" xr:uid="{00000000-0005-0000-0000-000023000000}"/>
    <cellStyle name="20% - Accent3 9" xfId="36" xr:uid="{00000000-0005-0000-0000-000024000000}"/>
    <cellStyle name="20% - Accent4 10" xfId="37" xr:uid="{00000000-0005-0000-0000-000025000000}"/>
    <cellStyle name="20% - Accent4 11" xfId="38" xr:uid="{00000000-0005-0000-0000-000026000000}"/>
    <cellStyle name="20% - Accent4 2" xfId="39" xr:uid="{00000000-0005-0000-0000-000027000000}"/>
    <cellStyle name="20% - Accent4 3" xfId="40" xr:uid="{00000000-0005-0000-0000-000028000000}"/>
    <cellStyle name="20% - Accent4 4" xfId="41" xr:uid="{00000000-0005-0000-0000-000029000000}"/>
    <cellStyle name="20% - Accent4 5" xfId="42" xr:uid="{00000000-0005-0000-0000-00002A000000}"/>
    <cellStyle name="20% - Accent4 6" xfId="43" xr:uid="{00000000-0005-0000-0000-00002B000000}"/>
    <cellStyle name="20% - Accent4 7" xfId="44" xr:uid="{00000000-0005-0000-0000-00002C000000}"/>
    <cellStyle name="20% - Accent4 8" xfId="45" xr:uid="{00000000-0005-0000-0000-00002D000000}"/>
    <cellStyle name="20% - Accent4 9" xfId="46" xr:uid="{00000000-0005-0000-0000-00002E000000}"/>
    <cellStyle name="20% - Accent5 10" xfId="47" xr:uid="{00000000-0005-0000-0000-00002F000000}"/>
    <cellStyle name="20% - Accent5 11" xfId="48" xr:uid="{00000000-0005-0000-0000-000030000000}"/>
    <cellStyle name="20% - Accent5 2" xfId="49" xr:uid="{00000000-0005-0000-0000-000031000000}"/>
    <cellStyle name="20% - Accent5 3" xfId="50" xr:uid="{00000000-0005-0000-0000-000032000000}"/>
    <cellStyle name="20% - Accent5 4" xfId="51" xr:uid="{00000000-0005-0000-0000-000033000000}"/>
    <cellStyle name="20% - Accent5 5" xfId="52" xr:uid="{00000000-0005-0000-0000-000034000000}"/>
    <cellStyle name="20% - Accent5 6" xfId="53" xr:uid="{00000000-0005-0000-0000-000035000000}"/>
    <cellStyle name="20% - Accent5 7" xfId="54" xr:uid="{00000000-0005-0000-0000-000036000000}"/>
    <cellStyle name="20% - Accent5 8" xfId="55" xr:uid="{00000000-0005-0000-0000-000037000000}"/>
    <cellStyle name="20% - Accent5 9" xfId="56" xr:uid="{00000000-0005-0000-0000-000038000000}"/>
    <cellStyle name="20% - Accent6 10" xfId="57" xr:uid="{00000000-0005-0000-0000-000039000000}"/>
    <cellStyle name="20% - Accent6 11" xfId="58" xr:uid="{00000000-0005-0000-0000-00003A000000}"/>
    <cellStyle name="20% - Accent6 2" xfId="59" xr:uid="{00000000-0005-0000-0000-00003B000000}"/>
    <cellStyle name="20% - Accent6 3" xfId="60" xr:uid="{00000000-0005-0000-0000-00003C000000}"/>
    <cellStyle name="20% - Accent6 4" xfId="61" xr:uid="{00000000-0005-0000-0000-00003D000000}"/>
    <cellStyle name="20% - Accent6 5" xfId="62" xr:uid="{00000000-0005-0000-0000-00003E000000}"/>
    <cellStyle name="20% - Accent6 6" xfId="63" xr:uid="{00000000-0005-0000-0000-00003F000000}"/>
    <cellStyle name="20% - Accent6 7" xfId="64" xr:uid="{00000000-0005-0000-0000-000040000000}"/>
    <cellStyle name="20% - Accent6 8" xfId="65" xr:uid="{00000000-0005-0000-0000-000041000000}"/>
    <cellStyle name="20% - Accent6 9" xfId="66" xr:uid="{00000000-0005-0000-0000-000042000000}"/>
    <cellStyle name="40% - Accent1 10" xfId="67" xr:uid="{00000000-0005-0000-0000-000043000000}"/>
    <cellStyle name="40% - Accent1 11" xfId="68" xr:uid="{00000000-0005-0000-0000-000044000000}"/>
    <cellStyle name="40% - Accent1 2" xfId="69" xr:uid="{00000000-0005-0000-0000-000045000000}"/>
    <cellStyle name="40% - Accent1 3" xfId="70" xr:uid="{00000000-0005-0000-0000-000046000000}"/>
    <cellStyle name="40% - Accent1 4" xfId="71" xr:uid="{00000000-0005-0000-0000-000047000000}"/>
    <cellStyle name="40% - Accent1 5" xfId="72" xr:uid="{00000000-0005-0000-0000-000048000000}"/>
    <cellStyle name="40% - Accent1 6" xfId="73" xr:uid="{00000000-0005-0000-0000-000049000000}"/>
    <cellStyle name="40% - Accent1 7" xfId="74" xr:uid="{00000000-0005-0000-0000-00004A000000}"/>
    <cellStyle name="40% - Accent1 8" xfId="75" xr:uid="{00000000-0005-0000-0000-00004B000000}"/>
    <cellStyle name="40% - Accent1 9" xfId="76" xr:uid="{00000000-0005-0000-0000-00004C000000}"/>
    <cellStyle name="40% - Accent2 10" xfId="77" xr:uid="{00000000-0005-0000-0000-00004D000000}"/>
    <cellStyle name="40% - Accent2 11" xfId="78" xr:uid="{00000000-0005-0000-0000-00004E000000}"/>
    <cellStyle name="40% - Accent2 2" xfId="79" xr:uid="{00000000-0005-0000-0000-00004F000000}"/>
    <cellStyle name="40% - Accent2 3" xfId="80" xr:uid="{00000000-0005-0000-0000-000050000000}"/>
    <cellStyle name="40% - Accent2 4" xfId="81" xr:uid="{00000000-0005-0000-0000-000051000000}"/>
    <cellStyle name="40% - Accent2 5" xfId="82" xr:uid="{00000000-0005-0000-0000-000052000000}"/>
    <cellStyle name="40% - Accent2 6" xfId="83" xr:uid="{00000000-0005-0000-0000-000053000000}"/>
    <cellStyle name="40% - Accent2 7" xfId="84" xr:uid="{00000000-0005-0000-0000-000054000000}"/>
    <cellStyle name="40% - Accent2 8" xfId="85" xr:uid="{00000000-0005-0000-0000-000055000000}"/>
    <cellStyle name="40% - Accent2 9" xfId="86" xr:uid="{00000000-0005-0000-0000-000056000000}"/>
    <cellStyle name="40% - Accent3 10" xfId="87" xr:uid="{00000000-0005-0000-0000-000057000000}"/>
    <cellStyle name="40% - Accent3 11" xfId="88" xr:uid="{00000000-0005-0000-0000-000058000000}"/>
    <cellStyle name="40% - Accent3 2" xfId="89" xr:uid="{00000000-0005-0000-0000-000059000000}"/>
    <cellStyle name="40% - Accent3 3" xfId="90" xr:uid="{00000000-0005-0000-0000-00005A000000}"/>
    <cellStyle name="40% - Accent3 4" xfId="91" xr:uid="{00000000-0005-0000-0000-00005B000000}"/>
    <cellStyle name="40% - Accent3 5" xfId="92" xr:uid="{00000000-0005-0000-0000-00005C000000}"/>
    <cellStyle name="40% - Accent3 6" xfId="93" xr:uid="{00000000-0005-0000-0000-00005D000000}"/>
    <cellStyle name="40% - Accent3 7" xfId="94" xr:uid="{00000000-0005-0000-0000-00005E000000}"/>
    <cellStyle name="40% - Accent3 8" xfId="95" xr:uid="{00000000-0005-0000-0000-00005F000000}"/>
    <cellStyle name="40% - Accent3 9" xfId="96" xr:uid="{00000000-0005-0000-0000-000060000000}"/>
    <cellStyle name="40% - Accent4 10" xfId="97" xr:uid="{00000000-0005-0000-0000-000061000000}"/>
    <cellStyle name="40% - Accent4 11" xfId="98" xr:uid="{00000000-0005-0000-0000-000062000000}"/>
    <cellStyle name="40% - Accent4 2" xfId="99" xr:uid="{00000000-0005-0000-0000-000063000000}"/>
    <cellStyle name="40% - Accent4 3" xfId="100" xr:uid="{00000000-0005-0000-0000-000064000000}"/>
    <cellStyle name="40% - Accent4 4" xfId="101" xr:uid="{00000000-0005-0000-0000-000065000000}"/>
    <cellStyle name="40% - Accent4 5" xfId="102" xr:uid="{00000000-0005-0000-0000-000066000000}"/>
    <cellStyle name="40% - Accent4 6" xfId="103" xr:uid="{00000000-0005-0000-0000-000067000000}"/>
    <cellStyle name="40% - Accent4 7" xfId="104" xr:uid="{00000000-0005-0000-0000-000068000000}"/>
    <cellStyle name="40% - Accent4 8" xfId="105" xr:uid="{00000000-0005-0000-0000-000069000000}"/>
    <cellStyle name="40% - Accent4 9" xfId="106" xr:uid="{00000000-0005-0000-0000-00006A000000}"/>
    <cellStyle name="40% - Accent5 10" xfId="107" xr:uid="{00000000-0005-0000-0000-00006B000000}"/>
    <cellStyle name="40% - Accent5 11" xfId="108" xr:uid="{00000000-0005-0000-0000-00006C000000}"/>
    <cellStyle name="40% - Accent5 2" xfId="109" xr:uid="{00000000-0005-0000-0000-00006D000000}"/>
    <cellStyle name="40% - Accent5 3" xfId="110" xr:uid="{00000000-0005-0000-0000-00006E000000}"/>
    <cellStyle name="40% - Accent5 4" xfId="111" xr:uid="{00000000-0005-0000-0000-00006F000000}"/>
    <cellStyle name="40% - Accent5 5" xfId="112" xr:uid="{00000000-0005-0000-0000-000070000000}"/>
    <cellStyle name="40% - Accent5 6" xfId="113" xr:uid="{00000000-0005-0000-0000-000071000000}"/>
    <cellStyle name="40% - Accent5 7" xfId="114" xr:uid="{00000000-0005-0000-0000-000072000000}"/>
    <cellStyle name="40% - Accent5 8" xfId="115" xr:uid="{00000000-0005-0000-0000-000073000000}"/>
    <cellStyle name="40% - Accent5 9" xfId="116" xr:uid="{00000000-0005-0000-0000-000074000000}"/>
    <cellStyle name="40% - Accent6 10" xfId="117" xr:uid="{00000000-0005-0000-0000-000075000000}"/>
    <cellStyle name="40% - Accent6 11" xfId="118" xr:uid="{00000000-0005-0000-0000-000076000000}"/>
    <cellStyle name="40% - Accent6 2" xfId="119" xr:uid="{00000000-0005-0000-0000-000077000000}"/>
    <cellStyle name="40% - Accent6 3" xfId="120" xr:uid="{00000000-0005-0000-0000-000078000000}"/>
    <cellStyle name="40% - Accent6 4" xfId="121" xr:uid="{00000000-0005-0000-0000-000079000000}"/>
    <cellStyle name="40% - Accent6 5" xfId="122" xr:uid="{00000000-0005-0000-0000-00007A000000}"/>
    <cellStyle name="40% - Accent6 6" xfId="123" xr:uid="{00000000-0005-0000-0000-00007B000000}"/>
    <cellStyle name="40% - Accent6 7" xfId="124" xr:uid="{00000000-0005-0000-0000-00007C000000}"/>
    <cellStyle name="40% - Accent6 8" xfId="125" xr:uid="{00000000-0005-0000-0000-00007D000000}"/>
    <cellStyle name="40% - Accent6 9" xfId="126" xr:uid="{00000000-0005-0000-0000-00007E000000}"/>
    <cellStyle name="60% - Accent1 10" xfId="127" xr:uid="{00000000-0005-0000-0000-00007F000000}"/>
    <cellStyle name="60% - Accent1 11" xfId="128" xr:uid="{00000000-0005-0000-0000-000080000000}"/>
    <cellStyle name="60% - Accent1 2" xfId="129" xr:uid="{00000000-0005-0000-0000-000081000000}"/>
    <cellStyle name="60% - Accent1 3" xfId="130" xr:uid="{00000000-0005-0000-0000-000082000000}"/>
    <cellStyle name="60% - Accent1 4" xfId="131" xr:uid="{00000000-0005-0000-0000-000083000000}"/>
    <cellStyle name="60% - Accent1 5" xfId="132" xr:uid="{00000000-0005-0000-0000-000084000000}"/>
    <cellStyle name="60% - Accent1 6" xfId="133" xr:uid="{00000000-0005-0000-0000-000085000000}"/>
    <cellStyle name="60% - Accent1 7" xfId="134" xr:uid="{00000000-0005-0000-0000-000086000000}"/>
    <cellStyle name="60% - Accent1 8" xfId="135" xr:uid="{00000000-0005-0000-0000-000087000000}"/>
    <cellStyle name="60% - Accent1 9" xfId="136" xr:uid="{00000000-0005-0000-0000-000088000000}"/>
    <cellStyle name="60% - Accent2 10" xfId="137" xr:uid="{00000000-0005-0000-0000-000089000000}"/>
    <cellStyle name="60% - Accent2 11" xfId="138" xr:uid="{00000000-0005-0000-0000-00008A000000}"/>
    <cellStyle name="60% - Accent2 2" xfId="139" xr:uid="{00000000-0005-0000-0000-00008B000000}"/>
    <cellStyle name="60% - Accent2 3" xfId="140" xr:uid="{00000000-0005-0000-0000-00008C000000}"/>
    <cellStyle name="60% - Accent2 4" xfId="141" xr:uid="{00000000-0005-0000-0000-00008D000000}"/>
    <cellStyle name="60% - Accent2 5" xfId="142" xr:uid="{00000000-0005-0000-0000-00008E000000}"/>
    <cellStyle name="60% - Accent2 6" xfId="143" xr:uid="{00000000-0005-0000-0000-00008F000000}"/>
    <cellStyle name="60% - Accent2 7" xfId="144" xr:uid="{00000000-0005-0000-0000-000090000000}"/>
    <cellStyle name="60% - Accent2 8" xfId="145" xr:uid="{00000000-0005-0000-0000-000091000000}"/>
    <cellStyle name="60% - Accent2 9" xfId="146" xr:uid="{00000000-0005-0000-0000-000092000000}"/>
    <cellStyle name="60% - Accent3 10" xfId="147" xr:uid="{00000000-0005-0000-0000-000093000000}"/>
    <cellStyle name="60% - Accent3 11" xfId="148" xr:uid="{00000000-0005-0000-0000-000094000000}"/>
    <cellStyle name="60% - Accent3 2" xfId="149" xr:uid="{00000000-0005-0000-0000-000095000000}"/>
    <cellStyle name="60% - Accent3 3" xfId="150" xr:uid="{00000000-0005-0000-0000-000096000000}"/>
    <cellStyle name="60% - Accent3 4" xfId="151" xr:uid="{00000000-0005-0000-0000-000097000000}"/>
    <cellStyle name="60% - Accent3 5" xfId="152" xr:uid="{00000000-0005-0000-0000-000098000000}"/>
    <cellStyle name="60% - Accent3 6" xfId="153" xr:uid="{00000000-0005-0000-0000-000099000000}"/>
    <cellStyle name="60% - Accent3 7" xfId="154" xr:uid="{00000000-0005-0000-0000-00009A000000}"/>
    <cellStyle name="60% - Accent3 8" xfId="155" xr:uid="{00000000-0005-0000-0000-00009B000000}"/>
    <cellStyle name="60% - Accent3 9" xfId="156" xr:uid="{00000000-0005-0000-0000-00009C000000}"/>
    <cellStyle name="60% - Accent4 10" xfId="157" xr:uid="{00000000-0005-0000-0000-00009D000000}"/>
    <cellStyle name="60% - Accent4 11" xfId="158" xr:uid="{00000000-0005-0000-0000-00009E000000}"/>
    <cellStyle name="60% - Accent4 2" xfId="159" xr:uid="{00000000-0005-0000-0000-00009F000000}"/>
    <cellStyle name="60% - Accent4 3" xfId="160" xr:uid="{00000000-0005-0000-0000-0000A0000000}"/>
    <cellStyle name="60% - Accent4 4" xfId="161" xr:uid="{00000000-0005-0000-0000-0000A1000000}"/>
    <cellStyle name="60% - Accent4 5" xfId="162" xr:uid="{00000000-0005-0000-0000-0000A2000000}"/>
    <cellStyle name="60% - Accent4 6" xfId="163" xr:uid="{00000000-0005-0000-0000-0000A3000000}"/>
    <cellStyle name="60% - Accent4 7" xfId="164" xr:uid="{00000000-0005-0000-0000-0000A4000000}"/>
    <cellStyle name="60% - Accent4 8" xfId="165" xr:uid="{00000000-0005-0000-0000-0000A5000000}"/>
    <cellStyle name="60% - Accent4 9" xfId="166" xr:uid="{00000000-0005-0000-0000-0000A6000000}"/>
    <cellStyle name="60% - Accent5 10" xfId="167" xr:uid="{00000000-0005-0000-0000-0000A7000000}"/>
    <cellStyle name="60% - Accent5 11" xfId="168" xr:uid="{00000000-0005-0000-0000-0000A8000000}"/>
    <cellStyle name="60% - Accent5 2" xfId="169" xr:uid="{00000000-0005-0000-0000-0000A9000000}"/>
    <cellStyle name="60% - Accent5 3" xfId="170" xr:uid="{00000000-0005-0000-0000-0000AA000000}"/>
    <cellStyle name="60% - Accent5 4" xfId="171" xr:uid="{00000000-0005-0000-0000-0000AB000000}"/>
    <cellStyle name="60% - Accent5 5" xfId="172" xr:uid="{00000000-0005-0000-0000-0000AC000000}"/>
    <cellStyle name="60% - Accent5 6" xfId="173" xr:uid="{00000000-0005-0000-0000-0000AD000000}"/>
    <cellStyle name="60% - Accent5 7" xfId="174" xr:uid="{00000000-0005-0000-0000-0000AE000000}"/>
    <cellStyle name="60% - Accent5 8" xfId="175" xr:uid="{00000000-0005-0000-0000-0000AF000000}"/>
    <cellStyle name="60% - Accent5 9" xfId="176" xr:uid="{00000000-0005-0000-0000-0000B0000000}"/>
    <cellStyle name="60% - Accent6 10" xfId="177" xr:uid="{00000000-0005-0000-0000-0000B1000000}"/>
    <cellStyle name="60% - Accent6 11" xfId="178" xr:uid="{00000000-0005-0000-0000-0000B2000000}"/>
    <cellStyle name="60% - Accent6 2" xfId="179" xr:uid="{00000000-0005-0000-0000-0000B3000000}"/>
    <cellStyle name="60% - Accent6 3" xfId="180" xr:uid="{00000000-0005-0000-0000-0000B4000000}"/>
    <cellStyle name="60% - Accent6 4" xfId="181" xr:uid="{00000000-0005-0000-0000-0000B5000000}"/>
    <cellStyle name="60% - Accent6 5" xfId="182" xr:uid="{00000000-0005-0000-0000-0000B6000000}"/>
    <cellStyle name="60% - Accent6 6" xfId="183" xr:uid="{00000000-0005-0000-0000-0000B7000000}"/>
    <cellStyle name="60% - Accent6 7" xfId="184" xr:uid="{00000000-0005-0000-0000-0000B8000000}"/>
    <cellStyle name="60% - Accent6 8" xfId="185" xr:uid="{00000000-0005-0000-0000-0000B9000000}"/>
    <cellStyle name="60% - Accent6 9" xfId="186" xr:uid="{00000000-0005-0000-0000-0000BA000000}"/>
    <cellStyle name="Accent1 10" xfId="187" xr:uid="{00000000-0005-0000-0000-0000BB000000}"/>
    <cellStyle name="Accent1 11" xfId="188" xr:uid="{00000000-0005-0000-0000-0000BC000000}"/>
    <cellStyle name="Accent1 2" xfId="189" xr:uid="{00000000-0005-0000-0000-0000BD000000}"/>
    <cellStyle name="Accent1 3" xfId="190" xr:uid="{00000000-0005-0000-0000-0000BE000000}"/>
    <cellStyle name="Accent1 4" xfId="191" xr:uid="{00000000-0005-0000-0000-0000BF000000}"/>
    <cellStyle name="Accent1 5" xfId="192" xr:uid="{00000000-0005-0000-0000-0000C0000000}"/>
    <cellStyle name="Accent1 6" xfId="193" xr:uid="{00000000-0005-0000-0000-0000C1000000}"/>
    <cellStyle name="Accent1 7" xfId="194" xr:uid="{00000000-0005-0000-0000-0000C2000000}"/>
    <cellStyle name="Accent1 8" xfId="195" xr:uid="{00000000-0005-0000-0000-0000C3000000}"/>
    <cellStyle name="Accent1 9" xfId="196" xr:uid="{00000000-0005-0000-0000-0000C4000000}"/>
    <cellStyle name="Accent2 10" xfId="197" xr:uid="{00000000-0005-0000-0000-0000C5000000}"/>
    <cellStyle name="Accent2 11" xfId="198" xr:uid="{00000000-0005-0000-0000-0000C6000000}"/>
    <cellStyle name="Accent2 2" xfId="199" xr:uid="{00000000-0005-0000-0000-0000C7000000}"/>
    <cellStyle name="Accent2 3" xfId="200" xr:uid="{00000000-0005-0000-0000-0000C8000000}"/>
    <cellStyle name="Accent2 4" xfId="201" xr:uid="{00000000-0005-0000-0000-0000C9000000}"/>
    <cellStyle name="Accent2 5" xfId="202" xr:uid="{00000000-0005-0000-0000-0000CA000000}"/>
    <cellStyle name="Accent2 6" xfId="203" xr:uid="{00000000-0005-0000-0000-0000CB000000}"/>
    <cellStyle name="Accent2 7" xfId="204" xr:uid="{00000000-0005-0000-0000-0000CC000000}"/>
    <cellStyle name="Accent2 8" xfId="205" xr:uid="{00000000-0005-0000-0000-0000CD000000}"/>
    <cellStyle name="Accent2 9" xfId="206" xr:uid="{00000000-0005-0000-0000-0000CE000000}"/>
    <cellStyle name="Accent3 10" xfId="207" xr:uid="{00000000-0005-0000-0000-0000CF000000}"/>
    <cellStyle name="Accent3 11" xfId="208" xr:uid="{00000000-0005-0000-0000-0000D0000000}"/>
    <cellStyle name="Accent3 2" xfId="209" xr:uid="{00000000-0005-0000-0000-0000D1000000}"/>
    <cellStyle name="Accent3 3" xfId="210" xr:uid="{00000000-0005-0000-0000-0000D2000000}"/>
    <cellStyle name="Accent3 4" xfId="211" xr:uid="{00000000-0005-0000-0000-0000D3000000}"/>
    <cellStyle name="Accent3 5" xfId="212" xr:uid="{00000000-0005-0000-0000-0000D4000000}"/>
    <cellStyle name="Accent3 6" xfId="213" xr:uid="{00000000-0005-0000-0000-0000D5000000}"/>
    <cellStyle name="Accent3 7" xfId="214" xr:uid="{00000000-0005-0000-0000-0000D6000000}"/>
    <cellStyle name="Accent3 8" xfId="215" xr:uid="{00000000-0005-0000-0000-0000D7000000}"/>
    <cellStyle name="Accent3 9" xfId="216" xr:uid="{00000000-0005-0000-0000-0000D8000000}"/>
    <cellStyle name="Accent4 10" xfId="217" xr:uid="{00000000-0005-0000-0000-0000D9000000}"/>
    <cellStyle name="Accent4 11" xfId="218" xr:uid="{00000000-0005-0000-0000-0000DA000000}"/>
    <cellStyle name="Accent4 2" xfId="219" xr:uid="{00000000-0005-0000-0000-0000DB000000}"/>
    <cellStyle name="Accent4 3" xfId="220" xr:uid="{00000000-0005-0000-0000-0000DC000000}"/>
    <cellStyle name="Accent4 4" xfId="221" xr:uid="{00000000-0005-0000-0000-0000DD000000}"/>
    <cellStyle name="Accent4 5" xfId="222" xr:uid="{00000000-0005-0000-0000-0000DE000000}"/>
    <cellStyle name="Accent4 6" xfId="223" xr:uid="{00000000-0005-0000-0000-0000DF000000}"/>
    <cellStyle name="Accent4 7" xfId="224" xr:uid="{00000000-0005-0000-0000-0000E0000000}"/>
    <cellStyle name="Accent4 8" xfId="225" xr:uid="{00000000-0005-0000-0000-0000E1000000}"/>
    <cellStyle name="Accent4 9" xfId="226" xr:uid="{00000000-0005-0000-0000-0000E2000000}"/>
    <cellStyle name="Accent5 10" xfId="227" xr:uid="{00000000-0005-0000-0000-0000E3000000}"/>
    <cellStyle name="Accent5 11" xfId="228" xr:uid="{00000000-0005-0000-0000-0000E4000000}"/>
    <cellStyle name="Accent5 2" xfId="229" xr:uid="{00000000-0005-0000-0000-0000E5000000}"/>
    <cellStyle name="Accent5 3" xfId="230" xr:uid="{00000000-0005-0000-0000-0000E6000000}"/>
    <cellStyle name="Accent5 4" xfId="231" xr:uid="{00000000-0005-0000-0000-0000E7000000}"/>
    <cellStyle name="Accent5 5" xfId="232" xr:uid="{00000000-0005-0000-0000-0000E8000000}"/>
    <cellStyle name="Accent5 6" xfId="233" xr:uid="{00000000-0005-0000-0000-0000E9000000}"/>
    <cellStyle name="Accent5 7" xfId="234" xr:uid="{00000000-0005-0000-0000-0000EA000000}"/>
    <cellStyle name="Accent5 8" xfId="235" xr:uid="{00000000-0005-0000-0000-0000EB000000}"/>
    <cellStyle name="Accent5 9" xfId="236" xr:uid="{00000000-0005-0000-0000-0000EC000000}"/>
    <cellStyle name="Accent6 10" xfId="237" xr:uid="{00000000-0005-0000-0000-0000ED000000}"/>
    <cellStyle name="Accent6 11" xfId="238" xr:uid="{00000000-0005-0000-0000-0000EE000000}"/>
    <cellStyle name="Accent6 2" xfId="239" xr:uid="{00000000-0005-0000-0000-0000EF000000}"/>
    <cellStyle name="Accent6 3" xfId="240" xr:uid="{00000000-0005-0000-0000-0000F0000000}"/>
    <cellStyle name="Accent6 4" xfId="241" xr:uid="{00000000-0005-0000-0000-0000F1000000}"/>
    <cellStyle name="Accent6 5" xfId="242" xr:uid="{00000000-0005-0000-0000-0000F2000000}"/>
    <cellStyle name="Accent6 6" xfId="243" xr:uid="{00000000-0005-0000-0000-0000F3000000}"/>
    <cellStyle name="Accent6 7" xfId="244" xr:uid="{00000000-0005-0000-0000-0000F4000000}"/>
    <cellStyle name="Accent6 8" xfId="245" xr:uid="{00000000-0005-0000-0000-0000F5000000}"/>
    <cellStyle name="Accent6 9" xfId="246" xr:uid="{00000000-0005-0000-0000-0000F6000000}"/>
    <cellStyle name="Bad 10" xfId="247" xr:uid="{00000000-0005-0000-0000-0000F7000000}"/>
    <cellStyle name="Bad 11" xfId="248" xr:uid="{00000000-0005-0000-0000-0000F8000000}"/>
    <cellStyle name="Bad 2" xfId="249" xr:uid="{00000000-0005-0000-0000-0000F9000000}"/>
    <cellStyle name="Bad 3" xfId="250" xr:uid="{00000000-0005-0000-0000-0000FA000000}"/>
    <cellStyle name="Bad 4" xfId="251" xr:uid="{00000000-0005-0000-0000-0000FB000000}"/>
    <cellStyle name="Bad 5" xfId="252" xr:uid="{00000000-0005-0000-0000-0000FC000000}"/>
    <cellStyle name="Bad 6" xfId="253" xr:uid="{00000000-0005-0000-0000-0000FD000000}"/>
    <cellStyle name="Bad 7" xfId="254" xr:uid="{00000000-0005-0000-0000-0000FE000000}"/>
    <cellStyle name="Bad 8" xfId="255" xr:uid="{00000000-0005-0000-0000-0000FF000000}"/>
    <cellStyle name="Bad 9" xfId="256" xr:uid="{00000000-0005-0000-0000-000000010000}"/>
    <cellStyle name="Calculation 10" xfId="257" xr:uid="{00000000-0005-0000-0000-000001010000}"/>
    <cellStyle name="Calculation 11" xfId="258" xr:uid="{00000000-0005-0000-0000-000002010000}"/>
    <cellStyle name="Calculation 2" xfId="259" xr:uid="{00000000-0005-0000-0000-000003010000}"/>
    <cellStyle name="Calculation 3" xfId="260" xr:uid="{00000000-0005-0000-0000-000004010000}"/>
    <cellStyle name="Calculation 4" xfId="261" xr:uid="{00000000-0005-0000-0000-000005010000}"/>
    <cellStyle name="Calculation 5" xfId="262" xr:uid="{00000000-0005-0000-0000-000006010000}"/>
    <cellStyle name="Calculation 6" xfId="263" xr:uid="{00000000-0005-0000-0000-000007010000}"/>
    <cellStyle name="Calculation 7" xfId="264" xr:uid="{00000000-0005-0000-0000-000008010000}"/>
    <cellStyle name="Calculation 8" xfId="265" xr:uid="{00000000-0005-0000-0000-000009010000}"/>
    <cellStyle name="Calculation 9" xfId="266" xr:uid="{00000000-0005-0000-0000-00000A010000}"/>
    <cellStyle name="Check Cell 10" xfId="267" xr:uid="{00000000-0005-0000-0000-00000B010000}"/>
    <cellStyle name="Check Cell 11" xfId="268" xr:uid="{00000000-0005-0000-0000-00000C010000}"/>
    <cellStyle name="Check Cell 2" xfId="269" xr:uid="{00000000-0005-0000-0000-00000D010000}"/>
    <cellStyle name="Check Cell 3" xfId="270" xr:uid="{00000000-0005-0000-0000-00000E010000}"/>
    <cellStyle name="Check Cell 4" xfId="271" xr:uid="{00000000-0005-0000-0000-00000F010000}"/>
    <cellStyle name="Check Cell 5" xfId="272" xr:uid="{00000000-0005-0000-0000-000010010000}"/>
    <cellStyle name="Check Cell 6" xfId="273" xr:uid="{00000000-0005-0000-0000-000011010000}"/>
    <cellStyle name="Check Cell 7" xfId="274" xr:uid="{00000000-0005-0000-0000-000012010000}"/>
    <cellStyle name="Check Cell 8" xfId="275" xr:uid="{00000000-0005-0000-0000-000013010000}"/>
    <cellStyle name="Check Cell 9" xfId="276" xr:uid="{00000000-0005-0000-0000-000014010000}"/>
    <cellStyle name="Explanatory Text 10" xfId="277" xr:uid="{00000000-0005-0000-0000-000015010000}"/>
    <cellStyle name="Explanatory Text 11" xfId="278" xr:uid="{00000000-0005-0000-0000-000016010000}"/>
    <cellStyle name="Explanatory Text 2" xfId="279" xr:uid="{00000000-0005-0000-0000-000017010000}"/>
    <cellStyle name="Explanatory Text 3" xfId="280" xr:uid="{00000000-0005-0000-0000-000018010000}"/>
    <cellStyle name="Explanatory Text 4" xfId="281" xr:uid="{00000000-0005-0000-0000-000019010000}"/>
    <cellStyle name="Explanatory Text 5" xfId="282" xr:uid="{00000000-0005-0000-0000-00001A010000}"/>
    <cellStyle name="Explanatory Text 6" xfId="283" xr:uid="{00000000-0005-0000-0000-00001B010000}"/>
    <cellStyle name="Explanatory Text 7" xfId="284" xr:uid="{00000000-0005-0000-0000-00001C010000}"/>
    <cellStyle name="Explanatory Text 8" xfId="285" xr:uid="{00000000-0005-0000-0000-00001D010000}"/>
    <cellStyle name="Explanatory Text 9" xfId="286" xr:uid="{00000000-0005-0000-0000-00001E010000}"/>
    <cellStyle name="float_format" xfId="493" xr:uid="{CAD0FC48-80FE-4718-A540-A75397C22DDB}"/>
    <cellStyle name="float_format_2" xfId="492" xr:uid="{D9B4BD42-8B40-445B-B96D-25FA4F9B60F0}"/>
    <cellStyle name="Good 10" xfId="287" xr:uid="{00000000-0005-0000-0000-00001F010000}"/>
    <cellStyle name="Good 11" xfId="288" xr:uid="{00000000-0005-0000-0000-000020010000}"/>
    <cellStyle name="Good 2" xfId="289" xr:uid="{00000000-0005-0000-0000-000021010000}"/>
    <cellStyle name="Good 3" xfId="290" xr:uid="{00000000-0005-0000-0000-000022010000}"/>
    <cellStyle name="Good 4" xfId="291" xr:uid="{00000000-0005-0000-0000-000023010000}"/>
    <cellStyle name="Good 5" xfId="292" xr:uid="{00000000-0005-0000-0000-000024010000}"/>
    <cellStyle name="Good 6" xfId="293" xr:uid="{00000000-0005-0000-0000-000025010000}"/>
    <cellStyle name="Good 7" xfId="294" xr:uid="{00000000-0005-0000-0000-000026010000}"/>
    <cellStyle name="Good 8" xfId="295" xr:uid="{00000000-0005-0000-0000-000027010000}"/>
    <cellStyle name="Good 9" xfId="296" xr:uid="{00000000-0005-0000-0000-000028010000}"/>
    <cellStyle name="Heading 1 10" xfId="297" xr:uid="{00000000-0005-0000-0000-000029010000}"/>
    <cellStyle name="Heading 1 11" xfId="298" xr:uid="{00000000-0005-0000-0000-00002A010000}"/>
    <cellStyle name="Heading 1 2" xfId="299" xr:uid="{00000000-0005-0000-0000-00002B010000}"/>
    <cellStyle name="Heading 1 3" xfId="300" xr:uid="{00000000-0005-0000-0000-00002C010000}"/>
    <cellStyle name="Heading 1 4" xfId="301" xr:uid="{00000000-0005-0000-0000-00002D010000}"/>
    <cellStyle name="Heading 1 5" xfId="302" xr:uid="{00000000-0005-0000-0000-00002E010000}"/>
    <cellStyle name="Heading 1 6" xfId="303" xr:uid="{00000000-0005-0000-0000-00002F010000}"/>
    <cellStyle name="Heading 1 7" xfId="304" xr:uid="{00000000-0005-0000-0000-000030010000}"/>
    <cellStyle name="Heading 1 8" xfId="305" xr:uid="{00000000-0005-0000-0000-000031010000}"/>
    <cellStyle name="Heading 1 9" xfId="306" xr:uid="{00000000-0005-0000-0000-000032010000}"/>
    <cellStyle name="Heading 2 10" xfId="307" xr:uid="{00000000-0005-0000-0000-000033010000}"/>
    <cellStyle name="Heading 2 11" xfId="308" xr:uid="{00000000-0005-0000-0000-000034010000}"/>
    <cellStyle name="Heading 2 2" xfId="309" xr:uid="{00000000-0005-0000-0000-000035010000}"/>
    <cellStyle name="Heading 2 3" xfId="310" xr:uid="{00000000-0005-0000-0000-000036010000}"/>
    <cellStyle name="Heading 2 4" xfId="311" xr:uid="{00000000-0005-0000-0000-000037010000}"/>
    <cellStyle name="Heading 2 5" xfId="312" xr:uid="{00000000-0005-0000-0000-000038010000}"/>
    <cellStyle name="Heading 2 6" xfId="313" xr:uid="{00000000-0005-0000-0000-000039010000}"/>
    <cellStyle name="Heading 2 7" xfId="314" xr:uid="{00000000-0005-0000-0000-00003A010000}"/>
    <cellStyle name="Heading 2 8" xfId="315" xr:uid="{00000000-0005-0000-0000-00003B010000}"/>
    <cellStyle name="Heading 2 9" xfId="316" xr:uid="{00000000-0005-0000-0000-00003C010000}"/>
    <cellStyle name="Heading 3 10" xfId="317" xr:uid="{00000000-0005-0000-0000-00003D010000}"/>
    <cellStyle name="Heading 3 11" xfId="318" xr:uid="{00000000-0005-0000-0000-00003E010000}"/>
    <cellStyle name="Heading 3 2" xfId="319" xr:uid="{00000000-0005-0000-0000-00003F010000}"/>
    <cellStyle name="Heading 3 2 10" xfId="320" xr:uid="{00000000-0005-0000-0000-000040010000}"/>
    <cellStyle name="Heading 3 2 2" xfId="321" xr:uid="{00000000-0005-0000-0000-000041010000}"/>
    <cellStyle name="Heading 3 2 3" xfId="322" xr:uid="{00000000-0005-0000-0000-000042010000}"/>
    <cellStyle name="Heading 3 2 4" xfId="323" xr:uid="{00000000-0005-0000-0000-000043010000}"/>
    <cellStyle name="Heading 3 2 5" xfId="324" xr:uid="{00000000-0005-0000-0000-000044010000}"/>
    <cellStyle name="Heading 3 2 6" xfId="325" xr:uid="{00000000-0005-0000-0000-000045010000}"/>
    <cellStyle name="Heading 3 2 7" xfId="326" xr:uid="{00000000-0005-0000-0000-000046010000}"/>
    <cellStyle name="Heading 3 2 8" xfId="327" xr:uid="{00000000-0005-0000-0000-000047010000}"/>
    <cellStyle name="Heading 3 2 9" xfId="328" xr:uid="{00000000-0005-0000-0000-000048010000}"/>
    <cellStyle name="Heading 3 3" xfId="329" xr:uid="{00000000-0005-0000-0000-000049010000}"/>
    <cellStyle name="Heading 3 4" xfId="330" xr:uid="{00000000-0005-0000-0000-00004A010000}"/>
    <cellStyle name="Heading 3 5" xfId="331" xr:uid="{00000000-0005-0000-0000-00004B010000}"/>
    <cellStyle name="Heading 3 6" xfId="332" xr:uid="{00000000-0005-0000-0000-00004C010000}"/>
    <cellStyle name="Heading 3 7" xfId="333" xr:uid="{00000000-0005-0000-0000-00004D010000}"/>
    <cellStyle name="Heading 3 8" xfId="334" xr:uid="{00000000-0005-0000-0000-00004E010000}"/>
    <cellStyle name="Heading 3 9" xfId="335" xr:uid="{00000000-0005-0000-0000-00004F010000}"/>
    <cellStyle name="Heading 4 10" xfId="336" xr:uid="{00000000-0005-0000-0000-000050010000}"/>
    <cellStyle name="Heading 4 11" xfId="337" xr:uid="{00000000-0005-0000-0000-000051010000}"/>
    <cellStyle name="Heading 4 2" xfId="338" xr:uid="{00000000-0005-0000-0000-000052010000}"/>
    <cellStyle name="Heading 4 3" xfId="339" xr:uid="{00000000-0005-0000-0000-000053010000}"/>
    <cellStyle name="Heading 4 4" xfId="340" xr:uid="{00000000-0005-0000-0000-000054010000}"/>
    <cellStyle name="Heading 4 5" xfId="341" xr:uid="{00000000-0005-0000-0000-000055010000}"/>
    <cellStyle name="Heading 4 6" xfId="342" xr:uid="{00000000-0005-0000-0000-000056010000}"/>
    <cellStyle name="Heading 4 7" xfId="343" xr:uid="{00000000-0005-0000-0000-000057010000}"/>
    <cellStyle name="Heading 4 8" xfId="344" xr:uid="{00000000-0005-0000-0000-000058010000}"/>
    <cellStyle name="Heading 4 9" xfId="345" xr:uid="{00000000-0005-0000-0000-000059010000}"/>
    <cellStyle name="Input 10" xfId="346" xr:uid="{00000000-0005-0000-0000-00005A010000}"/>
    <cellStyle name="Input 11" xfId="347" xr:uid="{00000000-0005-0000-0000-00005B010000}"/>
    <cellStyle name="Input 2" xfId="348" xr:uid="{00000000-0005-0000-0000-00005C010000}"/>
    <cellStyle name="Input 3" xfId="349" xr:uid="{00000000-0005-0000-0000-00005D010000}"/>
    <cellStyle name="Input 4" xfId="350" xr:uid="{00000000-0005-0000-0000-00005E010000}"/>
    <cellStyle name="Input 5" xfId="351" xr:uid="{00000000-0005-0000-0000-00005F010000}"/>
    <cellStyle name="Input 6" xfId="352" xr:uid="{00000000-0005-0000-0000-000060010000}"/>
    <cellStyle name="Input 7" xfId="353" xr:uid="{00000000-0005-0000-0000-000061010000}"/>
    <cellStyle name="Input 8" xfId="354" xr:uid="{00000000-0005-0000-0000-000062010000}"/>
    <cellStyle name="Input 9" xfId="355" xr:uid="{00000000-0005-0000-0000-000063010000}"/>
    <cellStyle name="Linked Cell 10" xfId="356" xr:uid="{00000000-0005-0000-0000-000064010000}"/>
    <cellStyle name="Linked Cell 11" xfId="357" xr:uid="{00000000-0005-0000-0000-000065010000}"/>
    <cellStyle name="Linked Cell 2" xfId="358" xr:uid="{00000000-0005-0000-0000-000066010000}"/>
    <cellStyle name="Linked Cell 3" xfId="359" xr:uid="{00000000-0005-0000-0000-000067010000}"/>
    <cellStyle name="Linked Cell 4" xfId="360" xr:uid="{00000000-0005-0000-0000-000068010000}"/>
    <cellStyle name="Linked Cell 5" xfId="361" xr:uid="{00000000-0005-0000-0000-000069010000}"/>
    <cellStyle name="Linked Cell 6" xfId="362" xr:uid="{00000000-0005-0000-0000-00006A010000}"/>
    <cellStyle name="Linked Cell 7" xfId="363" xr:uid="{00000000-0005-0000-0000-00006B010000}"/>
    <cellStyle name="Linked Cell 8" xfId="364" xr:uid="{00000000-0005-0000-0000-00006C010000}"/>
    <cellStyle name="Linked Cell 9" xfId="365" xr:uid="{00000000-0005-0000-0000-00006D010000}"/>
    <cellStyle name="Neutral 10" xfId="366" xr:uid="{00000000-0005-0000-0000-00006E010000}"/>
    <cellStyle name="Neutral 11" xfId="367" xr:uid="{00000000-0005-0000-0000-00006F010000}"/>
    <cellStyle name="Neutral 2" xfId="368" xr:uid="{00000000-0005-0000-0000-000070010000}"/>
    <cellStyle name="Neutral 3" xfId="369" xr:uid="{00000000-0005-0000-0000-000071010000}"/>
    <cellStyle name="Neutral 4" xfId="370" xr:uid="{00000000-0005-0000-0000-000072010000}"/>
    <cellStyle name="Neutral 5" xfId="371" xr:uid="{00000000-0005-0000-0000-000073010000}"/>
    <cellStyle name="Neutral 6" xfId="372" xr:uid="{00000000-0005-0000-0000-000074010000}"/>
    <cellStyle name="Neutral 7" xfId="373" xr:uid="{00000000-0005-0000-0000-000075010000}"/>
    <cellStyle name="Neutral 8" xfId="374" xr:uid="{00000000-0005-0000-0000-000076010000}"/>
    <cellStyle name="Neutral 9" xfId="375" xr:uid="{00000000-0005-0000-0000-000077010000}"/>
    <cellStyle name="Normal" xfId="0" builtinId="0"/>
    <cellStyle name="Normal 10" xfId="376" xr:uid="{00000000-0005-0000-0000-000078010000}"/>
    <cellStyle name="Normal 11" xfId="377" xr:uid="{00000000-0005-0000-0000-000079010000}"/>
    <cellStyle name="Normal 11 2" xfId="490" xr:uid="{00000000-0005-0000-0000-0000EA010000}"/>
    <cellStyle name="Normal 14" xfId="378" xr:uid="{00000000-0005-0000-0000-00007A010000}"/>
    <cellStyle name="Normal 2" xfId="379" xr:uid="{00000000-0005-0000-0000-00007B010000}"/>
    <cellStyle name="Normal 2 10" xfId="380" xr:uid="{00000000-0005-0000-0000-00007C010000}"/>
    <cellStyle name="Normal 2 11" xfId="381" xr:uid="{00000000-0005-0000-0000-00007D010000}"/>
    <cellStyle name="Normal 2 12" xfId="382" xr:uid="{00000000-0005-0000-0000-00007E010000}"/>
    <cellStyle name="Normal 2 13" xfId="383" xr:uid="{00000000-0005-0000-0000-00007F010000}"/>
    <cellStyle name="Normal 2 2" xfId="384" xr:uid="{00000000-0005-0000-0000-000080010000}"/>
    <cellStyle name="Normal 2 3" xfId="385" xr:uid="{00000000-0005-0000-0000-000081010000}"/>
    <cellStyle name="Normal 2 4" xfId="386" xr:uid="{00000000-0005-0000-0000-000082010000}"/>
    <cellStyle name="Normal 2 5" xfId="387" xr:uid="{00000000-0005-0000-0000-000083010000}"/>
    <cellStyle name="Normal 2 6" xfId="388" xr:uid="{00000000-0005-0000-0000-000084010000}"/>
    <cellStyle name="Normal 2 7" xfId="389" xr:uid="{00000000-0005-0000-0000-000085010000}"/>
    <cellStyle name="Normal 2 8" xfId="390" xr:uid="{00000000-0005-0000-0000-000086010000}"/>
    <cellStyle name="Normal 2 9" xfId="391" xr:uid="{00000000-0005-0000-0000-000087010000}"/>
    <cellStyle name="Normal 3" xfId="392" xr:uid="{00000000-0005-0000-0000-000088010000}"/>
    <cellStyle name="Normal 3 10" xfId="393" xr:uid="{00000000-0005-0000-0000-000089010000}"/>
    <cellStyle name="Normal 3 11" xfId="394" xr:uid="{00000000-0005-0000-0000-00008A010000}"/>
    <cellStyle name="Normal 3 12" xfId="395" xr:uid="{00000000-0005-0000-0000-00008B010000}"/>
    <cellStyle name="Normal 3 13" xfId="396" xr:uid="{00000000-0005-0000-0000-00008C010000}"/>
    <cellStyle name="Normal 3 2" xfId="397" xr:uid="{00000000-0005-0000-0000-00008D010000}"/>
    <cellStyle name="Normal 3 3" xfId="398" xr:uid="{00000000-0005-0000-0000-00008E010000}"/>
    <cellStyle name="Normal 3 4" xfId="399" xr:uid="{00000000-0005-0000-0000-00008F010000}"/>
    <cellStyle name="Normal 3 5" xfId="400" xr:uid="{00000000-0005-0000-0000-000090010000}"/>
    <cellStyle name="Normal 3 6" xfId="401" xr:uid="{00000000-0005-0000-0000-000091010000}"/>
    <cellStyle name="Normal 3 7" xfId="402" xr:uid="{00000000-0005-0000-0000-000092010000}"/>
    <cellStyle name="Normal 3 8" xfId="403" xr:uid="{00000000-0005-0000-0000-000093010000}"/>
    <cellStyle name="Normal 3 9" xfId="404" xr:uid="{00000000-0005-0000-0000-000094010000}"/>
    <cellStyle name="Normal 4" xfId="405" xr:uid="{00000000-0005-0000-0000-000095010000}"/>
    <cellStyle name="Normal 4 10" xfId="406" xr:uid="{00000000-0005-0000-0000-000096010000}"/>
    <cellStyle name="Normal 4 11" xfId="407" xr:uid="{00000000-0005-0000-0000-000097010000}"/>
    <cellStyle name="Normal 4 12" xfId="408" xr:uid="{00000000-0005-0000-0000-000098010000}"/>
    <cellStyle name="Normal 4 13" xfId="409" xr:uid="{00000000-0005-0000-0000-000099010000}"/>
    <cellStyle name="Normal 4 2" xfId="410" xr:uid="{00000000-0005-0000-0000-00009A010000}"/>
    <cellStyle name="Normal 4 3" xfId="411" xr:uid="{00000000-0005-0000-0000-00009B010000}"/>
    <cellStyle name="Normal 4 4" xfId="412" xr:uid="{00000000-0005-0000-0000-00009C010000}"/>
    <cellStyle name="Normal 4 5" xfId="413" xr:uid="{00000000-0005-0000-0000-00009D010000}"/>
    <cellStyle name="Normal 4 6" xfId="414" xr:uid="{00000000-0005-0000-0000-00009E010000}"/>
    <cellStyle name="Normal 4 7" xfId="415" xr:uid="{00000000-0005-0000-0000-00009F010000}"/>
    <cellStyle name="Normal 4 8" xfId="416" xr:uid="{00000000-0005-0000-0000-0000A0010000}"/>
    <cellStyle name="Normal 4 9" xfId="417" xr:uid="{00000000-0005-0000-0000-0000A1010000}"/>
    <cellStyle name="Normal 5" xfId="5" xr:uid="{00000000-0005-0000-0000-000005000000}"/>
    <cellStyle name="Normal 5 10" xfId="4" xr:uid="{00000000-0005-0000-0000-000004000000}"/>
    <cellStyle name="Normal 5 11" xfId="418" xr:uid="{00000000-0005-0000-0000-0000A2010000}"/>
    <cellStyle name="Normal 5 12" xfId="419" xr:uid="{00000000-0005-0000-0000-0000A3010000}"/>
    <cellStyle name="Normal 5 13" xfId="420" xr:uid="{00000000-0005-0000-0000-0000A4010000}"/>
    <cellStyle name="Normal 5 14" xfId="488" xr:uid="{00000000-0005-0000-0000-0000E8010000}"/>
    <cellStyle name="Normal 5 2" xfId="421" xr:uid="{00000000-0005-0000-0000-0000A5010000}"/>
    <cellStyle name="Normal 5 3" xfId="422" xr:uid="{00000000-0005-0000-0000-0000A6010000}"/>
    <cellStyle name="Normal 5 4" xfId="423" xr:uid="{00000000-0005-0000-0000-0000A7010000}"/>
    <cellStyle name="Normal 5 5" xfId="424" xr:uid="{00000000-0005-0000-0000-0000A8010000}"/>
    <cellStyle name="Normal 5 6" xfId="6" xr:uid="{00000000-0005-0000-0000-000006000000}"/>
    <cellStyle name="Normal 5 6 2" xfId="489" xr:uid="{00000000-0005-0000-0000-0000E9010000}"/>
    <cellStyle name="Normal 5 7" xfId="425" xr:uid="{00000000-0005-0000-0000-0000A9010000}"/>
    <cellStyle name="Normal 5 8" xfId="426" xr:uid="{00000000-0005-0000-0000-0000AA010000}"/>
    <cellStyle name="Normal 5 9" xfId="427" xr:uid="{00000000-0005-0000-0000-0000AB010000}"/>
    <cellStyle name="Normal 6" xfId="428" xr:uid="{00000000-0005-0000-0000-0000AC010000}"/>
    <cellStyle name="Normal 7" xfId="494" xr:uid="{45734674-04B7-4E27-9F4E-B0C3AC9C7C02}"/>
    <cellStyle name="Normal 9" xfId="491" xr:uid="{00000000-0005-0000-0000-0000EB010000}"/>
    <cellStyle name="Normal_8am report" xfId="1" xr:uid="{00000000-0005-0000-0000-000001000000}"/>
    <cellStyle name="Normal_8am report 2" xfId="2" xr:uid="{00000000-0005-0000-0000-000002000000}"/>
    <cellStyle name="Normal_REPORT" xfId="3" xr:uid="{00000000-0005-0000-0000-000003000000}"/>
    <cellStyle name="Note 10" xfId="429" xr:uid="{00000000-0005-0000-0000-0000AD010000}"/>
    <cellStyle name="Note 11" xfId="430" xr:uid="{00000000-0005-0000-0000-0000AE010000}"/>
    <cellStyle name="Note 2" xfId="431" xr:uid="{00000000-0005-0000-0000-0000AF010000}"/>
    <cellStyle name="Note 3" xfId="432" xr:uid="{00000000-0005-0000-0000-0000B0010000}"/>
    <cellStyle name="Note 4" xfId="433" xr:uid="{00000000-0005-0000-0000-0000B1010000}"/>
    <cellStyle name="Note 5" xfId="434" xr:uid="{00000000-0005-0000-0000-0000B2010000}"/>
    <cellStyle name="Note 6" xfId="435" xr:uid="{00000000-0005-0000-0000-0000B3010000}"/>
    <cellStyle name="Note 7" xfId="436" xr:uid="{00000000-0005-0000-0000-0000B4010000}"/>
    <cellStyle name="Note 8" xfId="437" xr:uid="{00000000-0005-0000-0000-0000B5010000}"/>
    <cellStyle name="Note 9" xfId="438" xr:uid="{00000000-0005-0000-0000-0000B6010000}"/>
    <cellStyle name="Output 10" xfId="439" xr:uid="{00000000-0005-0000-0000-0000B7010000}"/>
    <cellStyle name="Output 11" xfId="440" xr:uid="{00000000-0005-0000-0000-0000B8010000}"/>
    <cellStyle name="Output 2" xfId="441" xr:uid="{00000000-0005-0000-0000-0000B9010000}"/>
    <cellStyle name="Output 3" xfId="442" xr:uid="{00000000-0005-0000-0000-0000BA010000}"/>
    <cellStyle name="Output 4" xfId="443" xr:uid="{00000000-0005-0000-0000-0000BB010000}"/>
    <cellStyle name="Output 5" xfId="444" xr:uid="{00000000-0005-0000-0000-0000BC010000}"/>
    <cellStyle name="Output 6" xfId="445" xr:uid="{00000000-0005-0000-0000-0000BD010000}"/>
    <cellStyle name="Output 7" xfId="446" xr:uid="{00000000-0005-0000-0000-0000BE010000}"/>
    <cellStyle name="Output 8" xfId="447" xr:uid="{00000000-0005-0000-0000-0000BF010000}"/>
    <cellStyle name="Output 9" xfId="448" xr:uid="{00000000-0005-0000-0000-0000C0010000}"/>
    <cellStyle name="STYLEAL" xfId="449" xr:uid="{00000000-0005-0000-0000-0000C1010000}"/>
    <cellStyle name="STYLEAL 2" xfId="450" xr:uid="{00000000-0005-0000-0000-0000C2010000}"/>
    <cellStyle name="STYLEAL 3" xfId="451" xr:uid="{00000000-0005-0000-0000-0000C3010000}"/>
    <cellStyle name="STYLEAL 4" xfId="452" xr:uid="{00000000-0005-0000-0000-0000C4010000}"/>
    <cellStyle name="STYLEAL 5" xfId="453" xr:uid="{00000000-0005-0000-0000-0000C5010000}"/>
    <cellStyle name="STYLEAL 6" xfId="454" xr:uid="{00000000-0005-0000-0000-0000C6010000}"/>
    <cellStyle name="STYLEAL 7" xfId="455" xr:uid="{00000000-0005-0000-0000-0000C7010000}"/>
    <cellStyle name="STYLEAL 8" xfId="456" xr:uid="{00000000-0005-0000-0000-0000C8010000}"/>
    <cellStyle name="STYLEAL 9" xfId="457" xr:uid="{00000000-0005-0000-0000-0000C9010000}"/>
    <cellStyle name="Title 10" xfId="458" xr:uid="{00000000-0005-0000-0000-0000CA010000}"/>
    <cellStyle name="Title 11" xfId="459" xr:uid="{00000000-0005-0000-0000-0000CB010000}"/>
    <cellStyle name="Title 2" xfId="460" xr:uid="{00000000-0005-0000-0000-0000CC010000}"/>
    <cellStyle name="Title 3" xfId="461" xr:uid="{00000000-0005-0000-0000-0000CD010000}"/>
    <cellStyle name="Title 4" xfId="462" xr:uid="{00000000-0005-0000-0000-0000CE010000}"/>
    <cellStyle name="Title 5" xfId="463" xr:uid="{00000000-0005-0000-0000-0000CF010000}"/>
    <cellStyle name="Title 6" xfId="464" xr:uid="{00000000-0005-0000-0000-0000D0010000}"/>
    <cellStyle name="Title 7" xfId="465" xr:uid="{00000000-0005-0000-0000-0000D1010000}"/>
    <cellStyle name="Title 8" xfId="466" xr:uid="{00000000-0005-0000-0000-0000D2010000}"/>
    <cellStyle name="Title 9" xfId="467" xr:uid="{00000000-0005-0000-0000-0000D3010000}"/>
    <cellStyle name="Total 10" xfId="468" xr:uid="{00000000-0005-0000-0000-0000D4010000}"/>
    <cellStyle name="Total 11" xfId="469" xr:uid="{00000000-0005-0000-0000-0000D5010000}"/>
    <cellStyle name="Total 2" xfId="470" xr:uid="{00000000-0005-0000-0000-0000D6010000}"/>
    <cellStyle name="Total 3" xfId="471" xr:uid="{00000000-0005-0000-0000-0000D7010000}"/>
    <cellStyle name="Total 4" xfId="472" xr:uid="{00000000-0005-0000-0000-0000D8010000}"/>
    <cellStyle name="Total 5" xfId="473" xr:uid="{00000000-0005-0000-0000-0000D9010000}"/>
    <cellStyle name="Total 6" xfId="474" xr:uid="{00000000-0005-0000-0000-0000DA010000}"/>
    <cellStyle name="Total 7" xfId="475" xr:uid="{00000000-0005-0000-0000-0000DB010000}"/>
    <cellStyle name="Total 8" xfId="476" xr:uid="{00000000-0005-0000-0000-0000DC010000}"/>
    <cellStyle name="Total 9" xfId="477" xr:uid="{00000000-0005-0000-0000-0000DD010000}"/>
    <cellStyle name="Warning Text 10" xfId="478" xr:uid="{00000000-0005-0000-0000-0000DE010000}"/>
    <cellStyle name="Warning Text 11" xfId="479" xr:uid="{00000000-0005-0000-0000-0000DF010000}"/>
    <cellStyle name="Warning Text 2" xfId="480" xr:uid="{00000000-0005-0000-0000-0000E0010000}"/>
    <cellStyle name="Warning Text 3" xfId="481" xr:uid="{00000000-0005-0000-0000-0000E1010000}"/>
    <cellStyle name="Warning Text 4" xfId="482" xr:uid="{00000000-0005-0000-0000-0000E2010000}"/>
    <cellStyle name="Warning Text 5" xfId="483" xr:uid="{00000000-0005-0000-0000-0000E3010000}"/>
    <cellStyle name="Warning Text 6" xfId="484" xr:uid="{00000000-0005-0000-0000-0000E4010000}"/>
    <cellStyle name="Warning Text 7" xfId="485" xr:uid="{00000000-0005-0000-0000-0000E5010000}"/>
    <cellStyle name="Warning Text 8" xfId="486" xr:uid="{00000000-0005-0000-0000-0000E6010000}"/>
    <cellStyle name="Warning Text 9" xfId="487" xr:uid="{00000000-0005-0000-0000-0000E7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Fuel-Wise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9D-495B-B2F2-7E2EBE63C783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9D-495B-B2F2-7E2EBE63C783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29D-495B-B2F2-7E2EBE63C783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29D-495B-B2F2-7E2EBE63C783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29D-495B-B2F2-7E2EBE63C783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29D-495B-B2F2-7E2EBE63C783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29D-495B-B2F2-7E2EBE63C783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29D-495B-B2F2-7E2EBE63C783}"/>
              </c:ext>
            </c:extLst>
          </c:dPt>
          <c:cat>
            <c:strRef>
              <c:f>'P1'!$CV$17:$CV$24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'P1'!$CW$17:$CW$24</c:f>
              <c:numCache>
                <c:formatCode>General</c:formatCode>
                <c:ptCount val="8"/>
                <c:pt idx="0">
                  <c:v>132.49489854999999</c:v>
                </c:pt>
                <c:pt idx="1">
                  <c:v>110.23162609000001</c:v>
                </c:pt>
                <c:pt idx="2">
                  <c:v>53.128855399999999</c:v>
                </c:pt>
                <c:pt idx="3">
                  <c:v>0</c:v>
                </c:pt>
                <c:pt idx="4">
                  <c:v>0.94650000000000001</c:v>
                </c:pt>
                <c:pt idx="5">
                  <c:v>4.6710108000000004</c:v>
                </c:pt>
                <c:pt idx="6">
                  <c:v>56.229399059999999</c:v>
                </c:pt>
                <c:pt idx="7">
                  <c:v>5.3280000000000001E-2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29D-495B-B2F2-7E2EBE63C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50-4C0D-9B0E-68D6B6F611FF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50-4C0D-9B0E-68D6B6F611FF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50-4C0D-9B0E-68D6B6F611FF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350-4C0D-9B0E-68D6B6F611FF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350-4C0D-9B0E-68D6B6F611FF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350-4C0D-9B0E-68D6B6F611FF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350-4C0D-9B0E-68D6B6F611FF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350-4C0D-9B0E-68D6B6F611FF}"/>
              </c:ext>
            </c:extLst>
          </c:dPt>
          <c:cat>
            <c:strRef>
              <c:f>'P1'!$CX$17:$CX$24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'P1'!$CY$17:$CY$24</c:f>
              <c:numCache>
                <c:formatCode>General</c:formatCode>
                <c:ptCount val="8"/>
                <c:pt idx="0">
                  <c:v>473114239.3635</c:v>
                </c:pt>
                <c:pt idx="1">
                  <c:v>730829057.71650004</c:v>
                </c:pt>
                <c:pt idx="2">
                  <c:v>999317760.43799996</c:v>
                </c:pt>
                <c:pt idx="3">
                  <c:v>0</c:v>
                </c:pt>
                <c:pt idx="4">
                  <c:v>94650</c:v>
                </c:pt>
                <c:pt idx="5">
                  <c:v>75861439.898000002</c:v>
                </c:pt>
                <c:pt idx="6">
                  <c:v>313152032.65039998</c:v>
                </c:pt>
                <c:pt idx="7">
                  <c:v>780019.19999999995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350-4C0D-9B0E-68D6B6F61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EE7CBF8-049E-4F0E-9C42-D19771D3A46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1025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</xdr:row>
      <xdr:rowOff>0</xdr:rowOff>
    </xdr:from>
    <xdr:ext cx="9525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A253B0D-86F2-46E7-A023-4E5D7A98119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24100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584D965B-FA25-4AAB-BFB4-65A431DF1F9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67175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9525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A1DADE65-20EE-4E6C-97AF-429AE405EEB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10250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130</xdr:col>
      <xdr:colOff>0</xdr:colOff>
      <xdr:row>1</xdr:row>
      <xdr:rowOff>0</xdr:rowOff>
    </xdr:from>
    <xdr:ext cx="9525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AA9F9F14-FB1B-4641-A37F-480F508820B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53325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160</xdr:col>
      <xdr:colOff>0</xdr:colOff>
      <xdr:row>1</xdr:row>
      <xdr:rowOff>0</xdr:rowOff>
    </xdr:from>
    <xdr:ext cx="9525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38BA239E-B537-4E84-B29E-D65544F1F4E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964000" y="19050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3B1056-AA08-4801-A320-58BCDBB70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F45FEB-DA8B-404E-A596-BDE1756AB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762A5D55-92C9-4ABE-8837-CF26C844A38A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38400" y="19050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C84AE79-65BA-43DD-A955-E0F888149BB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190500"/>
          <a:ext cx="952500" cy="952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2314234-8999-489A-8B45-D9230B8825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190500"/>
          <a:ext cx="952500" cy="9525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18FFEBD-3635-4A8E-B578-C6511B8D399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190500"/>
          <a:ext cx="666750" cy="666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3AF2318-48DD-4A02-910D-2027A07C4F0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90500"/>
          <a:ext cx="666750" cy="666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6010275" cy="65817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7F56EAC3-E87C-4E0A-A3BC-E66757C95995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48000" y="1333500"/>
          <a:ext cx="6010275" cy="65817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7286625" cy="6172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9B26A1F-591D-44C1-BD1E-95CD81F78C1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63200" y="1905000"/>
          <a:ext cx="7286625" cy="61722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FA502C7-C3F2-4D0A-97CC-5F2EC64C717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24050" y="161925"/>
          <a:ext cx="952500" cy="952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dnld\Desktop\today\11-05-2025%20P1%20Report.xlsx" TargetMode="External"/><Relationship Id="rId1" Type="http://schemas.openxmlformats.org/officeDocument/2006/relationships/externalLinkPath" Target="file:///C:\Users\bdnld\Desktop\today\11-05-2025%20P1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2.53\ShiftActivity\Log-Folder\Logsheet_New.xlsm" TargetMode="External"/><Relationship Id="rId1" Type="http://schemas.openxmlformats.org/officeDocument/2006/relationships/externalLinkPath" Target="file:///\\192.168.92.53\ShiftActivity\Log-Folder\Logsheet_New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iftActivity\Log-Folder\Logsheet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dnld\Desktop\today\Max-Min-Voltage%202025-05-11.xlsx" TargetMode="External"/><Relationship Id="rId1" Type="http://schemas.openxmlformats.org/officeDocument/2006/relationships/externalLinkPath" Target="file:///C:\Users\bdnld\Desktop\today\Max-Min-Voltage%202025-05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Sheet4"/>
      <sheetName val="DGFI"/>
      <sheetName val="EWIC"/>
      <sheetName val="P1"/>
      <sheetName val="P2"/>
      <sheetName val="P3"/>
      <sheetName val="Sheet5"/>
      <sheetName val="SMS"/>
      <sheetName val="Volt"/>
      <sheetName val="YesterdayGen"/>
      <sheetName val="L-Curve"/>
      <sheetName val="En-Curve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6"/>
    </sheetNames>
    <sheetDataSet>
      <sheetData sheetId="0">
        <row r="4">
          <cell r="B4">
            <v>40</v>
          </cell>
          <cell r="F4">
            <v>17</v>
          </cell>
          <cell r="H4">
            <v>147</v>
          </cell>
          <cell r="M4">
            <v>101</v>
          </cell>
          <cell r="N4">
            <v>70</v>
          </cell>
          <cell r="O4">
            <v>85</v>
          </cell>
          <cell r="Q4">
            <v>31</v>
          </cell>
          <cell r="T4">
            <v>300</v>
          </cell>
          <cell r="U4">
            <v>195</v>
          </cell>
          <cell r="V4">
            <v>73</v>
          </cell>
          <cell r="AC4">
            <v>1072</v>
          </cell>
          <cell r="AG4">
            <v>36</v>
          </cell>
          <cell r="AH4">
            <v>190</v>
          </cell>
          <cell r="AI4">
            <v>335</v>
          </cell>
          <cell r="AJ4">
            <v>200</v>
          </cell>
          <cell r="AL4">
            <v>51</v>
          </cell>
          <cell r="AM4">
            <v>50</v>
          </cell>
          <cell r="AP4">
            <v>347</v>
          </cell>
          <cell r="AQ4">
            <v>300</v>
          </cell>
          <cell r="AR4">
            <v>250</v>
          </cell>
          <cell r="AS4">
            <v>300</v>
          </cell>
          <cell r="AU4">
            <v>17</v>
          </cell>
          <cell r="AW4">
            <v>36</v>
          </cell>
          <cell r="AX4">
            <v>30</v>
          </cell>
          <cell r="AZ4">
            <v>30</v>
          </cell>
          <cell r="BA4">
            <v>78</v>
          </cell>
          <cell r="BD4">
            <v>173</v>
          </cell>
          <cell r="BE4">
            <v>18</v>
          </cell>
          <cell r="BK4">
            <v>300</v>
          </cell>
          <cell r="BM4">
            <v>35</v>
          </cell>
          <cell r="BN4">
            <v>12</v>
          </cell>
          <cell r="BR4">
            <v>48</v>
          </cell>
          <cell r="BS4">
            <v>22</v>
          </cell>
          <cell r="BW4">
            <v>20</v>
          </cell>
          <cell r="BX4">
            <v>17</v>
          </cell>
          <cell r="BY4">
            <v>21</v>
          </cell>
          <cell r="CC4">
            <v>114</v>
          </cell>
          <cell r="CD4">
            <v>9</v>
          </cell>
          <cell r="CE4">
            <v>54</v>
          </cell>
          <cell r="CG4">
            <v>8</v>
          </cell>
          <cell r="CH4">
            <v>97</v>
          </cell>
          <cell r="CJ4">
            <v>52</v>
          </cell>
          <cell r="CK4">
            <v>17</v>
          </cell>
          <cell r="CM4">
            <v>17</v>
          </cell>
          <cell r="CN4">
            <v>103</v>
          </cell>
          <cell r="CS4">
            <v>150</v>
          </cell>
          <cell r="CU4">
            <v>50</v>
          </cell>
          <cell r="CZ4">
            <v>51</v>
          </cell>
          <cell r="DA4">
            <v>8</v>
          </cell>
          <cell r="DM4">
            <v>36</v>
          </cell>
          <cell r="DO4">
            <v>113</v>
          </cell>
          <cell r="DP4">
            <v>100</v>
          </cell>
          <cell r="DQ4">
            <v>157</v>
          </cell>
          <cell r="DR4">
            <v>133</v>
          </cell>
          <cell r="DS4">
            <v>335</v>
          </cell>
          <cell r="DT4">
            <v>35</v>
          </cell>
          <cell r="DU4">
            <v>15</v>
          </cell>
          <cell r="DV4">
            <v>100</v>
          </cell>
          <cell r="DW4">
            <v>58</v>
          </cell>
          <cell r="DX4">
            <v>17</v>
          </cell>
          <cell r="DZ4">
            <v>51</v>
          </cell>
          <cell r="EA4">
            <v>17</v>
          </cell>
          <cell r="EB4">
            <v>90</v>
          </cell>
          <cell r="ED4">
            <v>0</v>
          </cell>
          <cell r="EF4">
            <v>556</v>
          </cell>
          <cell r="EH4">
            <v>34</v>
          </cell>
          <cell r="EJ4">
            <v>7818</v>
          </cell>
          <cell r="EU4">
            <v>17</v>
          </cell>
          <cell r="EW4">
            <v>606</v>
          </cell>
          <cell r="EX4">
            <v>124</v>
          </cell>
          <cell r="EY4">
            <v>180</v>
          </cell>
          <cell r="FA4">
            <v>110</v>
          </cell>
          <cell r="FC4">
            <v>307</v>
          </cell>
          <cell r="FF4">
            <v>90</v>
          </cell>
          <cell r="FG4">
            <v>11</v>
          </cell>
          <cell r="FM4">
            <v>926</v>
          </cell>
        </row>
        <row r="5">
          <cell r="B5">
            <v>40</v>
          </cell>
          <cell r="F5">
            <v>17</v>
          </cell>
          <cell r="H5">
            <v>147</v>
          </cell>
          <cell r="M5">
            <v>101</v>
          </cell>
          <cell r="N5">
            <v>70</v>
          </cell>
          <cell r="O5">
            <v>34</v>
          </cell>
          <cell r="Q5">
            <v>31</v>
          </cell>
          <cell r="T5">
            <v>300</v>
          </cell>
          <cell r="U5">
            <v>195</v>
          </cell>
          <cell r="V5">
            <v>8</v>
          </cell>
          <cell r="AC5">
            <v>972</v>
          </cell>
          <cell r="AG5">
            <v>35</v>
          </cell>
          <cell r="AH5">
            <v>193</v>
          </cell>
          <cell r="AI5">
            <v>300</v>
          </cell>
          <cell r="AJ5">
            <v>200</v>
          </cell>
          <cell r="AL5">
            <v>51</v>
          </cell>
          <cell r="AM5">
            <v>50</v>
          </cell>
          <cell r="AP5">
            <v>349</v>
          </cell>
          <cell r="AQ5">
            <v>300</v>
          </cell>
          <cell r="AR5">
            <v>250</v>
          </cell>
          <cell r="AS5">
            <v>300</v>
          </cell>
          <cell r="AU5">
            <v>17</v>
          </cell>
          <cell r="AW5">
            <v>36</v>
          </cell>
          <cell r="AX5">
            <v>30</v>
          </cell>
          <cell r="AZ5">
            <v>30</v>
          </cell>
          <cell r="BA5">
            <v>78</v>
          </cell>
          <cell r="BD5">
            <v>173</v>
          </cell>
          <cell r="BE5">
            <v>18</v>
          </cell>
          <cell r="BK5">
            <v>305</v>
          </cell>
          <cell r="BM5">
            <v>35</v>
          </cell>
          <cell r="BN5">
            <v>12</v>
          </cell>
          <cell r="BR5">
            <v>44</v>
          </cell>
          <cell r="BS5">
            <v>22</v>
          </cell>
          <cell r="BW5">
            <v>20</v>
          </cell>
          <cell r="BX5">
            <v>17</v>
          </cell>
          <cell r="BY5">
            <v>21</v>
          </cell>
          <cell r="CC5">
            <v>114</v>
          </cell>
          <cell r="CD5">
            <v>9</v>
          </cell>
          <cell r="CE5">
            <v>54</v>
          </cell>
          <cell r="CG5">
            <v>8</v>
          </cell>
          <cell r="CH5">
            <v>97</v>
          </cell>
          <cell r="CJ5">
            <v>52</v>
          </cell>
          <cell r="CK5">
            <v>17</v>
          </cell>
          <cell r="CN5">
            <v>34</v>
          </cell>
          <cell r="CS5">
            <v>150</v>
          </cell>
          <cell r="CU5">
            <v>50</v>
          </cell>
          <cell r="CZ5">
            <v>51</v>
          </cell>
          <cell r="DA5">
            <v>8</v>
          </cell>
          <cell r="DM5">
            <v>83</v>
          </cell>
          <cell r="DO5">
            <v>113</v>
          </cell>
          <cell r="DP5">
            <v>100</v>
          </cell>
          <cell r="DQ5">
            <v>154</v>
          </cell>
          <cell r="DR5">
            <v>118</v>
          </cell>
          <cell r="DS5">
            <v>339</v>
          </cell>
          <cell r="DT5">
            <v>46</v>
          </cell>
          <cell r="DV5">
            <v>100</v>
          </cell>
          <cell r="DX5">
            <v>17</v>
          </cell>
          <cell r="DZ5">
            <v>55</v>
          </cell>
          <cell r="EA5">
            <v>17</v>
          </cell>
          <cell r="EB5">
            <v>53</v>
          </cell>
          <cell r="ED5">
            <v>0</v>
          </cell>
          <cell r="EF5">
            <v>552</v>
          </cell>
          <cell r="EH5">
            <v>17</v>
          </cell>
          <cell r="EJ5">
            <v>7460</v>
          </cell>
          <cell r="EU5">
            <v>17</v>
          </cell>
          <cell r="EW5">
            <v>604</v>
          </cell>
          <cell r="EY5">
            <v>180</v>
          </cell>
          <cell r="FC5">
            <v>307</v>
          </cell>
          <cell r="FF5">
            <v>100</v>
          </cell>
          <cell r="FG5">
            <v>11</v>
          </cell>
          <cell r="FM5">
            <v>925</v>
          </cell>
        </row>
        <row r="6">
          <cell r="B6">
            <v>40</v>
          </cell>
          <cell r="H6">
            <v>150</v>
          </cell>
          <cell r="M6">
            <v>51</v>
          </cell>
          <cell r="N6">
            <v>48</v>
          </cell>
          <cell r="Q6">
            <v>32</v>
          </cell>
          <cell r="T6">
            <v>300</v>
          </cell>
          <cell r="U6">
            <v>45</v>
          </cell>
          <cell r="V6">
            <v>8</v>
          </cell>
          <cell r="AC6">
            <v>912</v>
          </cell>
          <cell r="AG6">
            <v>35</v>
          </cell>
          <cell r="AH6">
            <v>193</v>
          </cell>
          <cell r="AI6">
            <v>300</v>
          </cell>
          <cell r="AJ6">
            <v>200</v>
          </cell>
          <cell r="AL6">
            <v>50</v>
          </cell>
          <cell r="AM6">
            <v>50</v>
          </cell>
          <cell r="AP6">
            <v>337</v>
          </cell>
          <cell r="AQ6">
            <v>300</v>
          </cell>
          <cell r="AR6">
            <v>250</v>
          </cell>
          <cell r="AS6">
            <v>300</v>
          </cell>
          <cell r="AU6">
            <v>17</v>
          </cell>
          <cell r="AW6">
            <v>36</v>
          </cell>
          <cell r="AX6">
            <v>30</v>
          </cell>
          <cell r="AZ6">
            <v>30</v>
          </cell>
          <cell r="BA6">
            <v>78</v>
          </cell>
          <cell r="BD6">
            <v>173</v>
          </cell>
          <cell r="BE6">
            <v>18</v>
          </cell>
          <cell r="BK6">
            <v>295</v>
          </cell>
          <cell r="BM6">
            <v>35</v>
          </cell>
          <cell r="BN6">
            <v>12</v>
          </cell>
          <cell r="BR6">
            <v>44</v>
          </cell>
          <cell r="BS6">
            <v>24</v>
          </cell>
          <cell r="BW6">
            <v>20</v>
          </cell>
          <cell r="BX6">
            <v>17</v>
          </cell>
          <cell r="BY6">
            <v>21</v>
          </cell>
          <cell r="CC6">
            <v>114</v>
          </cell>
          <cell r="CD6">
            <v>9</v>
          </cell>
          <cell r="CE6">
            <v>54</v>
          </cell>
          <cell r="CG6">
            <v>8</v>
          </cell>
          <cell r="CH6">
            <v>98</v>
          </cell>
          <cell r="CJ6">
            <v>52</v>
          </cell>
          <cell r="CK6">
            <v>17</v>
          </cell>
          <cell r="CN6">
            <v>34</v>
          </cell>
          <cell r="CS6">
            <v>150</v>
          </cell>
          <cell r="CU6">
            <v>16</v>
          </cell>
          <cell r="CZ6">
            <v>51</v>
          </cell>
          <cell r="DA6">
            <v>8</v>
          </cell>
          <cell r="DM6">
            <v>97</v>
          </cell>
          <cell r="DO6">
            <v>113</v>
          </cell>
          <cell r="DP6">
            <v>100</v>
          </cell>
          <cell r="DQ6">
            <v>150</v>
          </cell>
          <cell r="DR6">
            <v>115</v>
          </cell>
          <cell r="DS6">
            <v>359</v>
          </cell>
          <cell r="DT6">
            <v>46</v>
          </cell>
          <cell r="DV6">
            <v>100</v>
          </cell>
          <cell r="DZ6">
            <v>68</v>
          </cell>
          <cell r="EA6">
            <v>17</v>
          </cell>
          <cell r="ED6">
            <v>4</v>
          </cell>
          <cell r="EF6">
            <v>552</v>
          </cell>
          <cell r="EH6">
            <v>17</v>
          </cell>
          <cell r="EJ6">
            <v>6944</v>
          </cell>
          <cell r="EU6">
            <v>17</v>
          </cell>
          <cell r="EW6">
            <v>606</v>
          </cell>
          <cell r="EY6">
            <v>180</v>
          </cell>
          <cell r="FC6">
            <v>307</v>
          </cell>
          <cell r="FF6">
            <v>100</v>
          </cell>
          <cell r="FG6">
            <v>11</v>
          </cell>
          <cell r="FM6">
            <v>925</v>
          </cell>
        </row>
        <row r="7">
          <cell r="B7">
            <v>40</v>
          </cell>
          <cell r="H7">
            <v>151</v>
          </cell>
          <cell r="M7">
            <v>51</v>
          </cell>
          <cell r="N7">
            <v>48</v>
          </cell>
          <cell r="Q7">
            <v>32</v>
          </cell>
          <cell r="T7">
            <v>335</v>
          </cell>
          <cell r="V7">
            <v>8</v>
          </cell>
          <cell r="AC7">
            <v>612</v>
          </cell>
          <cell r="AG7">
            <v>35</v>
          </cell>
          <cell r="AH7">
            <v>182</v>
          </cell>
          <cell r="AI7">
            <v>345</v>
          </cell>
          <cell r="AJ7">
            <v>250</v>
          </cell>
          <cell r="AL7">
            <v>51</v>
          </cell>
          <cell r="AM7">
            <v>50</v>
          </cell>
          <cell r="AP7">
            <v>353</v>
          </cell>
          <cell r="AQ7">
            <v>500</v>
          </cell>
          <cell r="AS7">
            <v>420</v>
          </cell>
          <cell r="AU7">
            <v>17</v>
          </cell>
          <cell r="AW7">
            <v>36</v>
          </cell>
          <cell r="AX7">
            <v>30</v>
          </cell>
          <cell r="AZ7">
            <v>30</v>
          </cell>
          <cell r="BA7">
            <v>78</v>
          </cell>
          <cell r="BD7">
            <v>173</v>
          </cell>
          <cell r="BE7">
            <v>18</v>
          </cell>
          <cell r="BK7">
            <v>300</v>
          </cell>
          <cell r="BM7">
            <v>35</v>
          </cell>
          <cell r="BN7">
            <v>12</v>
          </cell>
          <cell r="BR7">
            <v>42</v>
          </cell>
          <cell r="BS7">
            <v>24</v>
          </cell>
          <cell r="BW7">
            <v>20</v>
          </cell>
          <cell r="BX7">
            <v>17</v>
          </cell>
          <cell r="BY7">
            <v>21</v>
          </cell>
          <cell r="CC7">
            <v>114</v>
          </cell>
          <cell r="CD7">
            <v>9</v>
          </cell>
          <cell r="CE7">
            <v>54</v>
          </cell>
          <cell r="CG7">
            <v>8</v>
          </cell>
          <cell r="CH7">
            <v>98</v>
          </cell>
          <cell r="CJ7">
            <v>16</v>
          </cell>
          <cell r="CK7">
            <v>17</v>
          </cell>
          <cell r="CS7">
            <v>150</v>
          </cell>
          <cell r="CU7">
            <v>16</v>
          </cell>
          <cell r="CZ7">
            <v>51</v>
          </cell>
          <cell r="DA7">
            <v>8</v>
          </cell>
          <cell r="DM7">
            <v>96</v>
          </cell>
          <cell r="DO7">
            <v>113</v>
          </cell>
          <cell r="DP7">
            <v>100</v>
          </cell>
          <cell r="DQ7">
            <v>147</v>
          </cell>
          <cell r="DR7">
            <v>30</v>
          </cell>
          <cell r="DS7">
            <v>347</v>
          </cell>
          <cell r="DT7">
            <v>46</v>
          </cell>
          <cell r="DV7">
            <v>60</v>
          </cell>
          <cell r="DZ7">
            <v>69</v>
          </cell>
          <cell r="EA7">
            <v>17</v>
          </cell>
          <cell r="ED7">
            <v>8</v>
          </cell>
          <cell r="EF7">
            <v>553</v>
          </cell>
          <cell r="EJ7">
            <v>6603</v>
          </cell>
          <cell r="EU7">
            <v>17</v>
          </cell>
          <cell r="EW7">
            <v>607</v>
          </cell>
          <cell r="EY7">
            <v>220</v>
          </cell>
          <cell r="FC7">
            <v>307</v>
          </cell>
          <cell r="FF7">
            <v>115</v>
          </cell>
          <cell r="FG7">
            <v>11</v>
          </cell>
          <cell r="FM7">
            <v>926</v>
          </cell>
        </row>
        <row r="8">
          <cell r="B8">
            <v>40</v>
          </cell>
          <cell r="H8">
            <v>151</v>
          </cell>
          <cell r="M8">
            <v>51</v>
          </cell>
          <cell r="N8">
            <v>16</v>
          </cell>
          <cell r="Q8">
            <v>32</v>
          </cell>
          <cell r="T8">
            <v>335</v>
          </cell>
          <cell r="V8">
            <v>8</v>
          </cell>
          <cell r="AC8">
            <v>612</v>
          </cell>
          <cell r="AG8">
            <v>35</v>
          </cell>
          <cell r="AH8">
            <v>189</v>
          </cell>
          <cell r="AI8">
            <v>345</v>
          </cell>
          <cell r="AJ8">
            <v>248</v>
          </cell>
          <cell r="AL8">
            <v>51</v>
          </cell>
          <cell r="AM8">
            <v>50</v>
          </cell>
          <cell r="AP8">
            <v>332</v>
          </cell>
          <cell r="AQ8">
            <v>450</v>
          </cell>
          <cell r="AS8">
            <v>420</v>
          </cell>
          <cell r="AU8">
            <v>17</v>
          </cell>
          <cell r="AW8">
            <v>36</v>
          </cell>
          <cell r="AX8">
            <v>30</v>
          </cell>
          <cell r="AZ8">
            <v>30</v>
          </cell>
          <cell r="BA8">
            <v>78</v>
          </cell>
          <cell r="BD8">
            <v>173</v>
          </cell>
          <cell r="BE8">
            <v>18</v>
          </cell>
          <cell r="BK8">
            <v>300</v>
          </cell>
          <cell r="BM8">
            <v>35</v>
          </cell>
          <cell r="BN8">
            <v>12</v>
          </cell>
          <cell r="BR8">
            <v>40</v>
          </cell>
          <cell r="BS8">
            <v>27</v>
          </cell>
          <cell r="BW8">
            <v>20</v>
          </cell>
          <cell r="BX8">
            <v>17</v>
          </cell>
          <cell r="BY8">
            <v>21</v>
          </cell>
          <cell r="CC8">
            <v>64</v>
          </cell>
          <cell r="CD8">
            <v>9</v>
          </cell>
          <cell r="CE8">
            <v>17</v>
          </cell>
          <cell r="CG8">
            <v>8</v>
          </cell>
          <cell r="CH8">
            <v>98</v>
          </cell>
          <cell r="CJ8">
            <v>16</v>
          </cell>
          <cell r="CK8">
            <v>17</v>
          </cell>
          <cell r="CS8">
            <v>151</v>
          </cell>
          <cell r="CU8">
            <v>16</v>
          </cell>
          <cell r="CZ8">
            <v>51</v>
          </cell>
          <cell r="DA8">
            <v>8</v>
          </cell>
          <cell r="DM8">
            <v>96</v>
          </cell>
          <cell r="DO8">
            <v>113</v>
          </cell>
          <cell r="DP8">
            <v>48</v>
          </cell>
          <cell r="DQ8">
            <v>120</v>
          </cell>
          <cell r="DR8">
            <v>10</v>
          </cell>
          <cell r="DS8">
            <v>354</v>
          </cell>
          <cell r="DT8">
            <v>49</v>
          </cell>
          <cell r="DV8">
            <v>24</v>
          </cell>
          <cell r="DZ8">
            <v>69</v>
          </cell>
          <cell r="EA8">
            <v>17</v>
          </cell>
          <cell r="ED8">
            <v>8</v>
          </cell>
          <cell r="EF8">
            <v>553</v>
          </cell>
          <cell r="EJ8">
            <v>6280</v>
          </cell>
          <cell r="EW8">
            <v>608</v>
          </cell>
          <cell r="EY8">
            <v>220</v>
          </cell>
          <cell r="FC8">
            <v>292</v>
          </cell>
          <cell r="FF8">
            <v>105</v>
          </cell>
          <cell r="FG8">
            <v>11</v>
          </cell>
          <cell r="FM8">
            <v>926</v>
          </cell>
        </row>
        <row r="9">
          <cell r="B9">
            <v>40</v>
          </cell>
          <cell r="G9">
            <v>1</v>
          </cell>
          <cell r="H9">
            <v>150</v>
          </cell>
          <cell r="M9">
            <v>37</v>
          </cell>
          <cell r="N9">
            <v>16</v>
          </cell>
          <cell r="Q9">
            <v>32</v>
          </cell>
          <cell r="T9">
            <v>335</v>
          </cell>
          <cell r="V9">
            <v>8</v>
          </cell>
          <cell r="AC9">
            <v>612</v>
          </cell>
          <cell r="AG9">
            <v>35</v>
          </cell>
          <cell r="AH9">
            <v>198</v>
          </cell>
          <cell r="AI9">
            <v>345</v>
          </cell>
          <cell r="AJ9">
            <v>250</v>
          </cell>
          <cell r="AL9">
            <v>51</v>
          </cell>
          <cell r="AM9">
            <v>50</v>
          </cell>
          <cell r="AP9">
            <v>345</v>
          </cell>
          <cell r="AQ9">
            <v>400</v>
          </cell>
          <cell r="AR9">
            <v>65</v>
          </cell>
          <cell r="AS9">
            <v>420</v>
          </cell>
          <cell r="AU9">
            <v>17</v>
          </cell>
          <cell r="AV9">
            <v>1</v>
          </cell>
          <cell r="AW9">
            <v>36</v>
          </cell>
          <cell r="AX9">
            <v>30</v>
          </cell>
          <cell r="AZ9">
            <v>30</v>
          </cell>
          <cell r="BA9">
            <v>78</v>
          </cell>
          <cell r="BD9">
            <v>173</v>
          </cell>
          <cell r="BE9">
            <v>18</v>
          </cell>
          <cell r="BK9">
            <v>305</v>
          </cell>
          <cell r="BN9">
            <v>12</v>
          </cell>
          <cell r="BR9">
            <v>36</v>
          </cell>
          <cell r="BS9">
            <v>33</v>
          </cell>
          <cell r="BW9">
            <v>20</v>
          </cell>
          <cell r="BX9">
            <v>17</v>
          </cell>
          <cell r="BY9">
            <v>21</v>
          </cell>
          <cell r="CC9">
            <v>52</v>
          </cell>
          <cell r="CD9">
            <v>9</v>
          </cell>
          <cell r="CG9">
            <v>8</v>
          </cell>
          <cell r="CH9">
            <v>98</v>
          </cell>
          <cell r="CJ9">
            <v>16</v>
          </cell>
          <cell r="CK9">
            <v>17</v>
          </cell>
          <cell r="CS9">
            <v>150</v>
          </cell>
          <cell r="CU9">
            <v>16</v>
          </cell>
          <cell r="CZ9">
            <v>51</v>
          </cell>
          <cell r="DM9">
            <v>45</v>
          </cell>
          <cell r="DO9">
            <v>114</v>
          </cell>
          <cell r="DP9">
            <v>48</v>
          </cell>
          <cell r="DQ9">
            <v>105</v>
          </cell>
          <cell r="DS9">
            <v>351</v>
          </cell>
          <cell r="DT9">
            <v>48</v>
          </cell>
          <cell r="DV9">
            <v>24</v>
          </cell>
          <cell r="DY9">
            <v>1</v>
          </cell>
          <cell r="DZ9">
            <v>57</v>
          </cell>
          <cell r="EA9">
            <v>17</v>
          </cell>
          <cell r="ED9">
            <v>14</v>
          </cell>
          <cell r="EE9">
            <v>5</v>
          </cell>
          <cell r="EF9">
            <v>553</v>
          </cell>
          <cell r="EJ9">
            <v>6148</v>
          </cell>
          <cell r="EV9">
            <v>3</v>
          </cell>
          <cell r="EW9">
            <v>607</v>
          </cell>
          <cell r="EY9">
            <v>220</v>
          </cell>
          <cell r="FC9">
            <v>200</v>
          </cell>
          <cell r="FD9">
            <v>0</v>
          </cell>
          <cell r="FF9">
            <v>105</v>
          </cell>
          <cell r="FG9">
            <v>11</v>
          </cell>
          <cell r="FM9">
            <v>926</v>
          </cell>
        </row>
        <row r="10">
          <cell r="B10">
            <v>40</v>
          </cell>
          <cell r="G10">
            <v>3</v>
          </cell>
          <cell r="H10">
            <v>151</v>
          </cell>
          <cell r="M10">
            <v>17</v>
          </cell>
          <cell r="N10">
            <v>16</v>
          </cell>
          <cell r="Q10">
            <v>32</v>
          </cell>
          <cell r="T10">
            <v>335</v>
          </cell>
          <cell r="V10">
            <v>8</v>
          </cell>
          <cell r="AC10">
            <v>600</v>
          </cell>
          <cell r="AG10">
            <v>35</v>
          </cell>
          <cell r="AH10">
            <v>198</v>
          </cell>
          <cell r="AI10">
            <v>345</v>
          </cell>
          <cell r="AJ10">
            <v>249</v>
          </cell>
          <cell r="AL10">
            <v>51</v>
          </cell>
          <cell r="AM10">
            <v>50</v>
          </cell>
          <cell r="AP10">
            <v>357</v>
          </cell>
          <cell r="AQ10">
            <v>400</v>
          </cell>
          <cell r="AR10">
            <v>65</v>
          </cell>
          <cell r="AS10">
            <v>380</v>
          </cell>
          <cell r="AU10">
            <v>11</v>
          </cell>
          <cell r="AV10">
            <v>3</v>
          </cell>
          <cell r="AW10">
            <v>36</v>
          </cell>
          <cell r="AX10">
            <v>30</v>
          </cell>
          <cell r="AZ10">
            <v>30</v>
          </cell>
          <cell r="BA10">
            <v>78</v>
          </cell>
          <cell r="BD10">
            <v>173</v>
          </cell>
          <cell r="BE10">
            <v>18</v>
          </cell>
          <cell r="BK10">
            <v>315</v>
          </cell>
          <cell r="BN10">
            <v>12</v>
          </cell>
          <cell r="BR10">
            <v>34</v>
          </cell>
          <cell r="BS10">
            <v>34</v>
          </cell>
          <cell r="BW10">
            <v>20</v>
          </cell>
          <cell r="BX10">
            <v>17</v>
          </cell>
          <cell r="BY10">
            <v>21</v>
          </cell>
          <cell r="CC10">
            <v>52</v>
          </cell>
          <cell r="CD10">
            <v>9</v>
          </cell>
          <cell r="CG10">
            <v>8</v>
          </cell>
          <cell r="CH10">
            <v>98</v>
          </cell>
          <cell r="CJ10">
            <v>16</v>
          </cell>
          <cell r="CK10">
            <v>17</v>
          </cell>
          <cell r="CS10">
            <v>150</v>
          </cell>
          <cell r="CU10">
            <v>16</v>
          </cell>
          <cell r="CZ10">
            <v>51</v>
          </cell>
          <cell r="DM10">
            <v>24</v>
          </cell>
          <cell r="DO10">
            <v>112</v>
          </cell>
          <cell r="DP10">
            <v>48</v>
          </cell>
          <cell r="DQ10">
            <v>111</v>
          </cell>
          <cell r="DS10">
            <v>365</v>
          </cell>
          <cell r="DT10">
            <v>24</v>
          </cell>
          <cell r="DV10">
            <v>24</v>
          </cell>
          <cell r="DY10">
            <v>4</v>
          </cell>
          <cell r="DZ10">
            <v>51</v>
          </cell>
          <cell r="EA10">
            <v>17</v>
          </cell>
          <cell r="ED10">
            <v>1</v>
          </cell>
          <cell r="EE10">
            <v>2</v>
          </cell>
          <cell r="EF10">
            <v>551</v>
          </cell>
          <cell r="EJ10">
            <v>6052</v>
          </cell>
          <cell r="EV10">
            <v>21</v>
          </cell>
          <cell r="EW10">
            <v>605</v>
          </cell>
          <cell r="EY10">
            <v>220</v>
          </cell>
          <cell r="FC10">
            <v>200</v>
          </cell>
          <cell r="FD10">
            <v>0</v>
          </cell>
          <cell r="FF10">
            <v>115</v>
          </cell>
          <cell r="FG10">
            <v>9</v>
          </cell>
          <cell r="FM10">
            <v>926</v>
          </cell>
        </row>
        <row r="11">
          <cell r="EJ11">
            <v>0</v>
          </cell>
        </row>
        <row r="12">
          <cell r="EJ12">
            <v>0</v>
          </cell>
        </row>
        <row r="13">
          <cell r="EJ13">
            <v>0</v>
          </cell>
        </row>
        <row r="14">
          <cell r="EJ14">
            <v>0</v>
          </cell>
        </row>
        <row r="15">
          <cell r="B15">
            <v>40</v>
          </cell>
          <cell r="F15">
            <v>8</v>
          </cell>
          <cell r="G15">
            <v>17</v>
          </cell>
          <cell r="H15">
            <v>141</v>
          </cell>
          <cell r="M15">
            <v>17</v>
          </cell>
          <cell r="N15">
            <v>16</v>
          </cell>
          <cell r="O15">
            <v>5</v>
          </cell>
          <cell r="Q15">
            <v>27</v>
          </cell>
          <cell r="T15">
            <v>250</v>
          </cell>
          <cell r="U15">
            <v>195</v>
          </cell>
          <cell r="V15">
            <v>63</v>
          </cell>
          <cell r="AC15">
            <v>1150</v>
          </cell>
          <cell r="AG15">
            <v>29</v>
          </cell>
          <cell r="AH15">
            <v>207</v>
          </cell>
          <cell r="AI15">
            <v>335</v>
          </cell>
          <cell r="AJ15">
            <v>220</v>
          </cell>
          <cell r="AL15">
            <v>30</v>
          </cell>
          <cell r="AM15">
            <v>50</v>
          </cell>
          <cell r="AP15">
            <v>364</v>
          </cell>
          <cell r="AQ15">
            <v>300</v>
          </cell>
          <cell r="AR15">
            <v>250</v>
          </cell>
          <cell r="AS15">
            <v>300</v>
          </cell>
          <cell r="AU15">
            <v>10</v>
          </cell>
          <cell r="AV15">
            <v>45</v>
          </cell>
          <cell r="AW15">
            <v>36</v>
          </cell>
          <cell r="AX15">
            <v>30</v>
          </cell>
          <cell r="AZ15">
            <v>28</v>
          </cell>
          <cell r="BA15">
            <v>78</v>
          </cell>
          <cell r="BD15">
            <v>173</v>
          </cell>
          <cell r="BE15">
            <v>16</v>
          </cell>
          <cell r="BK15">
            <v>310</v>
          </cell>
          <cell r="BM15">
            <v>17</v>
          </cell>
          <cell r="BN15">
            <v>12</v>
          </cell>
          <cell r="BR15">
            <v>38</v>
          </cell>
          <cell r="BS15">
            <v>0</v>
          </cell>
          <cell r="BW15">
            <v>19</v>
          </cell>
          <cell r="BX15">
            <v>21</v>
          </cell>
          <cell r="BY15">
            <v>20</v>
          </cell>
          <cell r="CC15">
            <v>114</v>
          </cell>
          <cell r="CD15">
            <v>8</v>
          </cell>
          <cell r="CE15">
            <v>90</v>
          </cell>
          <cell r="CG15">
            <v>30</v>
          </cell>
          <cell r="CH15">
            <v>78</v>
          </cell>
          <cell r="CJ15">
            <v>52</v>
          </cell>
          <cell r="CK15">
            <v>34</v>
          </cell>
          <cell r="CL15">
            <v>4</v>
          </cell>
          <cell r="CN15">
            <v>1</v>
          </cell>
          <cell r="CS15">
            <v>292</v>
          </cell>
          <cell r="CU15">
            <v>10</v>
          </cell>
          <cell r="CZ15">
            <v>51</v>
          </cell>
          <cell r="DA15">
            <v>8</v>
          </cell>
          <cell r="DM15">
            <v>115</v>
          </cell>
          <cell r="DO15">
            <v>108</v>
          </cell>
          <cell r="DP15">
            <v>87</v>
          </cell>
          <cell r="DQ15">
            <v>200</v>
          </cell>
          <cell r="DR15">
            <v>45</v>
          </cell>
          <cell r="DS15">
            <v>323</v>
          </cell>
          <cell r="DT15">
            <v>64</v>
          </cell>
          <cell r="DV15">
            <v>88</v>
          </cell>
          <cell r="DX15">
            <v>0</v>
          </cell>
          <cell r="DY15">
            <v>30</v>
          </cell>
          <cell r="DZ15">
            <v>69</v>
          </cell>
          <cell r="EA15">
            <v>17</v>
          </cell>
          <cell r="ED15">
            <v>1</v>
          </cell>
          <cell r="EE15">
            <v>67</v>
          </cell>
          <cell r="EF15">
            <v>505</v>
          </cell>
          <cell r="EH15">
            <v>52</v>
          </cell>
          <cell r="EJ15">
            <v>7690</v>
          </cell>
          <cell r="EV15">
            <v>94</v>
          </cell>
          <cell r="EW15">
            <v>1082</v>
          </cell>
          <cell r="EY15">
            <v>220</v>
          </cell>
          <cell r="FC15">
            <v>250</v>
          </cell>
          <cell r="FD15">
            <v>0</v>
          </cell>
          <cell r="FF15">
            <v>105</v>
          </cell>
          <cell r="FG15">
            <v>9</v>
          </cell>
          <cell r="FM15">
            <v>922</v>
          </cell>
        </row>
        <row r="16">
          <cell r="B16">
            <v>40</v>
          </cell>
          <cell r="F16">
            <v>8</v>
          </cell>
          <cell r="G16">
            <v>16</v>
          </cell>
          <cell r="H16">
            <v>137</v>
          </cell>
          <cell r="M16">
            <v>16</v>
          </cell>
          <cell r="N16">
            <v>32</v>
          </cell>
          <cell r="O16">
            <v>19</v>
          </cell>
          <cell r="Q16">
            <v>26</v>
          </cell>
          <cell r="T16">
            <v>250</v>
          </cell>
          <cell r="U16">
            <v>195</v>
          </cell>
          <cell r="V16">
            <v>90</v>
          </cell>
          <cell r="AC16">
            <v>1150</v>
          </cell>
          <cell r="AG16">
            <v>28</v>
          </cell>
          <cell r="AH16">
            <v>204</v>
          </cell>
          <cell r="AI16">
            <v>325</v>
          </cell>
          <cell r="AJ16">
            <v>208</v>
          </cell>
          <cell r="AL16">
            <v>30</v>
          </cell>
          <cell r="AM16">
            <v>50</v>
          </cell>
          <cell r="AP16">
            <v>367</v>
          </cell>
          <cell r="AQ16">
            <v>300</v>
          </cell>
          <cell r="AR16">
            <v>250</v>
          </cell>
          <cell r="AS16">
            <v>300</v>
          </cell>
          <cell r="AU16">
            <v>5</v>
          </cell>
          <cell r="AV16">
            <v>40</v>
          </cell>
          <cell r="AW16">
            <v>36</v>
          </cell>
          <cell r="AX16">
            <v>30</v>
          </cell>
          <cell r="AZ16">
            <v>25</v>
          </cell>
          <cell r="BA16">
            <v>78</v>
          </cell>
          <cell r="BD16">
            <v>173</v>
          </cell>
          <cell r="BE16">
            <v>16</v>
          </cell>
          <cell r="BJ16">
            <v>8</v>
          </cell>
          <cell r="BK16">
            <v>315</v>
          </cell>
          <cell r="BM16">
            <v>35</v>
          </cell>
          <cell r="BN16">
            <v>7</v>
          </cell>
          <cell r="BR16">
            <v>48</v>
          </cell>
          <cell r="BS16">
            <v>0</v>
          </cell>
          <cell r="BW16">
            <v>19</v>
          </cell>
          <cell r="BX16">
            <v>20</v>
          </cell>
          <cell r="BY16">
            <v>20</v>
          </cell>
          <cell r="CC16">
            <v>114</v>
          </cell>
          <cell r="CD16">
            <v>8</v>
          </cell>
          <cell r="CE16">
            <v>90</v>
          </cell>
          <cell r="CG16">
            <v>30</v>
          </cell>
          <cell r="CH16">
            <v>75</v>
          </cell>
          <cell r="CJ16">
            <v>52</v>
          </cell>
          <cell r="CK16">
            <v>52</v>
          </cell>
          <cell r="CL16">
            <v>3</v>
          </cell>
          <cell r="CN16">
            <v>18</v>
          </cell>
          <cell r="CS16">
            <v>288</v>
          </cell>
          <cell r="CU16">
            <v>22</v>
          </cell>
          <cell r="CZ16">
            <v>51</v>
          </cell>
          <cell r="DA16">
            <v>16</v>
          </cell>
          <cell r="DM16">
            <v>102</v>
          </cell>
          <cell r="DO16">
            <v>103</v>
          </cell>
          <cell r="DP16">
            <v>87</v>
          </cell>
          <cell r="DQ16">
            <v>200</v>
          </cell>
          <cell r="DR16">
            <v>88</v>
          </cell>
          <cell r="DS16">
            <v>350</v>
          </cell>
          <cell r="DT16">
            <v>64</v>
          </cell>
          <cell r="DV16">
            <v>88</v>
          </cell>
          <cell r="DX16">
            <v>17</v>
          </cell>
          <cell r="DY16">
            <v>28</v>
          </cell>
          <cell r="DZ16">
            <v>69</v>
          </cell>
          <cell r="EA16">
            <v>17</v>
          </cell>
          <cell r="EB16">
            <v>53</v>
          </cell>
          <cell r="ED16">
            <v>9</v>
          </cell>
          <cell r="EE16">
            <v>64</v>
          </cell>
          <cell r="EF16">
            <v>505</v>
          </cell>
          <cell r="EH16">
            <v>90</v>
          </cell>
          <cell r="EJ16">
            <v>7980</v>
          </cell>
          <cell r="EU16">
            <v>7</v>
          </cell>
          <cell r="EV16">
            <v>91</v>
          </cell>
          <cell r="EW16">
            <v>1110</v>
          </cell>
          <cell r="EY16">
            <v>220</v>
          </cell>
          <cell r="FC16">
            <v>250</v>
          </cell>
          <cell r="FD16">
            <v>0</v>
          </cell>
          <cell r="FF16">
            <v>115</v>
          </cell>
          <cell r="FG16">
            <v>9</v>
          </cell>
          <cell r="FM16">
            <v>922</v>
          </cell>
        </row>
        <row r="17">
          <cell r="B17">
            <v>40</v>
          </cell>
          <cell r="F17">
            <v>9</v>
          </cell>
          <cell r="G17">
            <v>15</v>
          </cell>
          <cell r="H17">
            <v>140</v>
          </cell>
          <cell r="M17">
            <v>16</v>
          </cell>
          <cell r="N17">
            <v>38</v>
          </cell>
          <cell r="O17">
            <v>34</v>
          </cell>
          <cell r="Q17">
            <v>26</v>
          </cell>
          <cell r="T17">
            <v>250</v>
          </cell>
          <cell r="U17">
            <v>195</v>
          </cell>
          <cell r="V17">
            <v>90</v>
          </cell>
          <cell r="AC17">
            <v>1150</v>
          </cell>
          <cell r="AG17">
            <v>29</v>
          </cell>
          <cell r="AH17">
            <v>204</v>
          </cell>
          <cell r="AI17">
            <v>335</v>
          </cell>
          <cell r="AJ17">
            <v>219</v>
          </cell>
          <cell r="AL17">
            <v>37</v>
          </cell>
          <cell r="AM17">
            <v>50</v>
          </cell>
          <cell r="AP17">
            <v>365</v>
          </cell>
          <cell r="AQ17">
            <v>300</v>
          </cell>
          <cell r="AR17">
            <v>250</v>
          </cell>
          <cell r="AS17">
            <v>300</v>
          </cell>
          <cell r="AU17">
            <v>5</v>
          </cell>
          <cell r="AV17">
            <v>35</v>
          </cell>
          <cell r="AW17">
            <v>38</v>
          </cell>
          <cell r="AX17">
            <v>30</v>
          </cell>
          <cell r="AZ17">
            <v>28</v>
          </cell>
          <cell r="BA17">
            <v>77</v>
          </cell>
          <cell r="BD17">
            <v>173</v>
          </cell>
          <cell r="BE17">
            <v>16</v>
          </cell>
          <cell r="BJ17">
            <v>8</v>
          </cell>
          <cell r="BK17">
            <v>310</v>
          </cell>
          <cell r="BM17">
            <v>35</v>
          </cell>
          <cell r="BN17">
            <v>12</v>
          </cell>
          <cell r="BR17">
            <v>44</v>
          </cell>
          <cell r="BS17">
            <v>2</v>
          </cell>
          <cell r="BW17">
            <v>19</v>
          </cell>
          <cell r="BX17">
            <v>20</v>
          </cell>
          <cell r="BY17">
            <v>20</v>
          </cell>
          <cell r="CC17">
            <v>114</v>
          </cell>
          <cell r="CD17">
            <v>8</v>
          </cell>
          <cell r="CE17">
            <v>90</v>
          </cell>
          <cell r="CG17">
            <v>30</v>
          </cell>
          <cell r="CH17">
            <v>75</v>
          </cell>
          <cell r="CJ17">
            <v>43</v>
          </cell>
          <cell r="CK17">
            <v>52</v>
          </cell>
          <cell r="CL17">
            <v>1</v>
          </cell>
          <cell r="CN17">
            <v>34</v>
          </cell>
          <cell r="CS17">
            <v>278</v>
          </cell>
          <cell r="CU17">
            <v>41</v>
          </cell>
          <cell r="CZ17">
            <v>51</v>
          </cell>
          <cell r="DA17">
            <v>16</v>
          </cell>
          <cell r="DM17">
            <v>102</v>
          </cell>
          <cell r="DO17">
            <v>89</v>
          </cell>
          <cell r="DP17">
            <v>87</v>
          </cell>
          <cell r="DQ17">
            <v>200</v>
          </cell>
          <cell r="DR17">
            <v>95</v>
          </cell>
          <cell r="DS17">
            <v>333</v>
          </cell>
          <cell r="DT17">
            <v>73</v>
          </cell>
          <cell r="DV17">
            <v>100</v>
          </cell>
          <cell r="DX17">
            <v>17</v>
          </cell>
          <cell r="DY17">
            <v>25</v>
          </cell>
          <cell r="DZ17">
            <v>69</v>
          </cell>
          <cell r="EA17">
            <v>15</v>
          </cell>
          <cell r="EB17">
            <v>143</v>
          </cell>
          <cell r="ED17">
            <v>10</v>
          </cell>
          <cell r="EE17">
            <v>55</v>
          </cell>
          <cell r="EF17">
            <v>505</v>
          </cell>
          <cell r="EH17">
            <v>90</v>
          </cell>
          <cell r="EJ17">
            <v>8116</v>
          </cell>
          <cell r="EU17">
            <v>17</v>
          </cell>
          <cell r="EV17">
            <v>81</v>
          </cell>
          <cell r="EW17">
            <v>1158</v>
          </cell>
          <cell r="EY17">
            <v>220</v>
          </cell>
          <cell r="FC17">
            <v>270</v>
          </cell>
          <cell r="FD17">
            <v>0</v>
          </cell>
          <cell r="FF17">
            <v>105</v>
          </cell>
          <cell r="FG17">
            <v>10</v>
          </cell>
          <cell r="FM17">
            <v>924</v>
          </cell>
        </row>
        <row r="18">
          <cell r="B18">
            <v>37</v>
          </cell>
          <cell r="F18">
            <v>22</v>
          </cell>
          <cell r="G18">
            <v>12</v>
          </cell>
          <cell r="H18">
            <v>140</v>
          </cell>
          <cell r="M18">
            <v>16</v>
          </cell>
          <cell r="N18">
            <v>39</v>
          </cell>
          <cell r="O18">
            <v>34</v>
          </cell>
          <cell r="Q18">
            <v>26</v>
          </cell>
          <cell r="T18">
            <v>250</v>
          </cell>
          <cell r="U18">
            <v>195</v>
          </cell>
          <cell r="V18">
            <v>128</v>
          </cell>
          <cell r="AC18">
            <v>1150</v>
          </cell>
          <cell r="AG18">
            <v>29</v>
          </cell>
          <cell r="AH18">
            <v>190</v>
          </cell>
          <cell r="AI18">
            <v>335</v>
          </cell>
          <cell r="AJ18">
            <v>220</v>
          </cell>
          <cell r="AL18">
            <v>41</v>
          </cell>
          <cell r="AM18">
            <v>50</v>
          </cell>
          <cell r="AP18">
            <v>374</v>
          </cell>
          <cell r="AQ18">
            <v>300</v>
          </cell>
          <cell r="AR18">
            <v>250</v>
          </cell>
          <cell r="AS18">
            <v>300</v>
          </cell>
          <cell r="AU18">
            <v>5</v>
          </cell>
          <cell r="AV18">
            <v>0</v>
          </cell>
          <cell r="AW18">
            <v>35</v>
          </cell>
          <cell r="AX18">
            <v>30</v>
          </cell>
          <cell r="AZ18">
            <v>30</v>
          </cell>
          <cell r="BA18">
            <v>77</v>
          </cell>
          <cell r="BD18">
            <v>172</v>
          </cell>
          <cell r="BE18">
            <v>16</v>
          </cell>
          <cell r="BJ18">
            <v>8</v>
          </cell>
          <cell r="BK18">
            <v>310</v>
          </cell>
          <cell r="BM18">
            <v>35</v>
          </cell>
          <cell r="BN18">
            <v>12</v>
          </cell>
          <cell r="BR18">
            <v>50</v>
          </cell>
          <cell r="BS18">
            <v>2</v>
          </cell>
          <cell r="BW18">
            <v>16</v>
          </cell>
          <cell r="BX18">
            <v>19</v>
          </cell>
          <cell r="BY18">
            <v>20</v>
          </cell>
          <cell r="CC18">
            <v>114</v>
          </cell>
          <cell r="CD18">
            <v>12</v>
          </cell>
          <cell r="CE18">
            <v>90</v>
          </cell>
          <cell r="CG18">
            <v>30</v>
          </cell>
          <cell r="CH18">
            <v>75</v>
          </cell>
          <cell r="CJ18">
            <v>52</v>
          </cell>
          <cell r="CK18">
            <v>52</v>
          </cell>
          <cell r="CL18">
            <v>1</v>
          </cell>
          <cell r="CN18">
            <v>34</v>
          </cell>
          <cell r="CS18">
            <v>285</v>
          </cell>
          <cell r="CU18">
            <v>50</v>
          </cell>
          <cell r="CZ18">
            <v>51</v>
          </cell>
          <cell r="DA18">
            <v>16</v>
          </cell>
          <cell r="DM18">
            <v>92</v>
          </cell>
          <cell r="DO18">
            <v>95</v>
          </cell>
          <cell r="DP18">
            <v>87</v>
          </cell>
          <cell r="DQ18">
            <v>200</v>
          </cell>
          <cell r="DR18">
            <v>90</v>
          </cell>
          <cell r="DS18">
            <v>319</v>
          </cell>
          <cell r="DT18">
            <v>72</v>
          </cell>
          <cell r="DV18">
            <v>100</v>
          </cell>
          <cell r="DX18">
            <v>17</v>
          </cell>
          <cell r="DY18">
            <v>20</v>
          </cell>
          <cell r="DZ18">
            <v>69</v>
          </cell>
          <cell r="EA18">
            <v>16</v>
          </cell>
          <cell r="EB18">
            <v>160</v>
          </cell>
          <cell r="ED18">
            <v>17</v>
          </cell>
          <cell r="EE18">
            <v>43</v>
          </cell>
          <cell r="EF18">
            <v>505</v>
          </cell>
          <cell r="EH18">
            <v>90</v>
          </cell>
          <cell r="EJ18">
            <v>8139</v>
          </cell>
          <cell r="EU18">
            <v>17</v>
          </cell>
          <cell r="EV18">
            <v>62</v>
          </cell>
          <cell r="EW18">
            <v>1158</v>
          </cell>
          <cell r="EY18">
            <v>220</v>
          </cell>
          <cell r="FC18">
            <v>270</v>
          </cell>
          <cell r="FD18">
            <v>0</v>
          </cell>
          <cell r="FF18">
            <v>105</v>
          </cell>
          <cell r="FG18">
            <v>10</v>
          </cell>
          <cell r="FM18">
            <v>923</v>
          </cell>
        </row>
        <row r="19">
          <cell r="B19">
            <v>39</v>
          </cell>
          <cell r="F19">
            <v>25</v>
          </cell>
          <cell r="G19">
            <v>7</v>
          </cell>
          <cell r="H19">
            <v>141</v>
          </cell>
          <cell r="M19">
            <v>16</v>
          </cell>
          <cell r="N19">
            <v>47</v>
          </cell>
          <cell r="O19">
            <v>17</v>
          </cell>
          <cell r="Q19">
            <v>26</v>
          </cell>
          <cell r="T19">
            <v>250</v>
          </cell>
          <cell r="U19">
            <v>145</v>
          </cell>
          <cell r="V19">
            <v>150</v>
          </cell>
          <cell r="AC19">
            <v>1150</v>
          </cell>
          <cell r="AG19">
            <v>30</v>
          </cell>
          <cell r="AH19">
            <v>178</v>
          </cell>
          <cell r="AI19">
            <v>345</v>
          </cell>
          <cell r="AJ19">
            <v>251</v>
          </cell>
          <cell r="AL19">
            <v>46</v>
          </cell>
          <cell r="AM19">
            <v>50</v>
          </cell>
          <cell r="AP19">
            <v>339</v>
          </cell>
          <cell r="AQ19">
            <v>300</v>
          </cell>
          <cell r="AR19">
            <v>250</v>
          </cell>
          <cell r="AS19">
            <v>300</v>
          </cell>
          <cell r="AU19">
            <v>10</v>
          </cell>
          <cell r="AV19">
            <v>1</v>
          </cell>
          <cell r="AW19">
            <v>35</v>
          </cell>
          <cell r="AX19">
            <v>30</v>
          </cell>
          <cell r="AZ19">
            <v>30</v>
          </cell>
          <cell r="BA19">
            <v>78</v>
          </cell>
          <cell r="BD19">
            <v>172</v>
          </cell>
          <cell r="BE19">
            <v>16</v>
          </cell>
          <cell r="BJ19">
            <v>8</v>
          </cell>
          <cell r="BK19">
            <v>300</v>
          </cell>
          <cell r="BM19">
            <v>35</v>
          </cell>
          <cell r="BN19">
            <v>12</v>
          </cell>
          <cell r="BR19">
            <v>48</v>
          </cell>
          <cell r="BS19">
            <v>0</v>
          </cell>
          <cell r="BW19">
            <v>16</v>
          </cell>
          <cell r="BX19">
            <v>18</v>
          </cell>
          <cell r="BY19">
            <v>20</v>
          </cell>
          <cell r="CC19">
            <v>114</v>
          </cell>
          <cell r="CD19">
            <v>25</v>
          </cell>
          <cell r="CE19">
            <v>90</v>
          </cell>
          <cell r="CG19">
            <v>30</v>
          </cell>
          <cell r="CH19">
            <v>75</v>
          </cell>
          <cell r="CJ19">
            <v>52</v>
          </cell>
          <cell r="CK19">
            <v>52</v>
          </cell>
          <cell r="CL19">
            <v>2</v>
          </cell>
          <cell r="CN19">
            <v>34</v>
          </cell>
          <cell r="CS19">
            <v>280</v>
          </cell>
          <cell r="CU19">
            <v>50</v>
          </cell>
          <cell r="CZ19">
            <v>51</v>
          </cell>
          <cell r="DA19">
            <v>32</v>
          </cell>
          <cell r="DM19">
            <v>101</v>
          </cell>
          <cell r="DO19">
            <v>98</v>
          </cell>
          <cell r="DP19">
            <v>88</v>
          </cell>
          <cell r="DQ19">
            <v>191</v>
          </cell>
          <cell r="DR19">
            <v>102</v>
          </cell>
          <cell r="DS19">
            <v>313</v>
          </cell>
          <cell r="DT19">
            <v>74</v>
          </cell>
          <cell r="DV19">
            <v>100</v>
          </cell>
          <cell r="DY19">
            <v>13</v>
          </cell>
          <cell r="DZ19">
            <v>69</v>
          </cell>
          <cell r="EA19">
            <v>16</v>
          </cell>
          <cell r="EB19">
            <v>108</v>
          </cell>
          <cell r="ED19">
            <v>9</v>
          </cell>
          <cell r="EE19">
            <v>26</v>
          </cell>
          <cell r="EF19">
            <v>500</v>
          </cell>
          <cell r="EH19">
            <v>28</v>
          </cell>
          <cell r="EJ19">
            <v>7973</v>
          </cell>
          <cell r="EU19">
            <v>17</v>
          </cell>
          <cell r="EV19">
            <v>42</v>
          </cell>
          <cell r="EW19">
            <v>1102</v>
          </cell>
          <cell r="EY19">
            <v>220</v>
          </cell>
          <cell r="FC19">
            <v>220</v>
          </cell>
          <cell r="FD19">
            <v>0</v>
          </cell>
          <cell r="FF19">
            <v>105</v>
          </cell>
          <cell r="FG19">
            <v>9</v>
          </cell>
          <cell r="FM19">
            <v>922</v>
          </cell>
        </row>
        <row r="20">
          <cell r="B20">
            <v>40</v>
          </cell>
          <cell r="F20">
            <v>25</v>
          </cell>
          <cell r="G20">
            <v>3</v>
          </cell>
          <cell r="H20">
            <v>142</v>
          </cell>
          <cell r="M20">
            <v>92</v>
          </cell>
          <cell r="N20">
            <v>45</v>
          </cell>
          <cell r="Q20">
            <v>26</v>
          </cell>
          <cell r="T20">
            <v>260</v>
          </cell>
          <cell r="U20">
            <v>145</v>
          </cell>
          <cell r="V20">
            <v>73</v>
          </cell>
          <cell r="AC20">
            <v>1062</v>
          </cell>
          <cell r="AG20">
            <v>31</v>
          </cell>
          <cell r="AH20">
            <v>218</v>
          </cell>
          <cell r="AI20">
            <v>300</v>
          </cell>
          <cell r="AJ20">
            <v>180</v>
          </cell>
          <cell r="AL20">
            <v>46</v>
          </cell>
          <cell r="AM20">
            <v>50</v>
          </cell>
          <cell r="AP20">
            <v>337</v>
          </cell>
          <cell r="AQ20">
            <v>300</v>
          </cell>
          <cell r="AR20">
            <v>250</v>
          </cell>
          <cell r="AS20">
            <v>300</v>
          </cell>
          <cell r="AU20">
            <v>11</v>
          </cell>
          <cell r="AV20">
            <v>0</v>
          </cell>
          <cell r="AW20">
            <v>35</v>
          </cell>
          <cell r="AX20">
            <v>30</v>
          </cell>
          <cell r="AZ20">
            <v>30</v>
          </cell>
          <cell r="BA20">
            <v>78</v>
          </cell>
          <cell r="BD20">
            <v>172</v>
          </cell>
          <cell r="BE20">
            <v>16</v>
          </cell>
          <cell r="BJ20">
            <v>8</v>
          </cell>
          <cell r="BK20">
            <v>290</v>
          </cell>
          <cell r="BM20">
            <v>35</v>
          </cell>
          <cell r="BN20">
            <v>12</v>
          </cell>
          <cell r="BR20">
            <v>42</v>
          </cell>
          <cell r="BS20">
            <v>0</v>
          </cell>
          <cell r="BW20">
            <v>14</v>
          </cell>
          <cell r="BX20">
            <v>17</v>
          </cell>
          <cell r="BY20">
            <v>20</v>
          </cell>
          <cell r="CC20">
            <v>114</v>
          </cell>
          <cell r="CD20">
            <v>35</v>
          </cell>
          <cell r="CE20">
            <v>90</v>
          </cell>
          <cell r="CG20">
            <v>30</v>
          </cell>
          <cell r="CH20">
            <v>75</v>
          </cell>
          <cell r="CJ20">
            <v>52</v>
          </cell>
          <cell r="CK20">
            <v>52</v>
          </cell>
          <cell r="CS20">
            <v>278</v>
          </cell>
          <cell r="CU20">
            <v>53</v>
          </cell>
          <cell r="CZ20">
            <v>51</v>
          </cell>
          <cell r="DA20">
            <v>50</v>
          </cell>
          <cell r="DM20">
            <v>110</v>
          </cell>
          <cell r="DO20">
            <v>102</v>
          </cell>
          <cell r="DP20">
            <v>100</v>
          </cell>
          <cell r="DQ20">
            <v>180</v>
          </cell>
          <cell r="DR20">
            <v>128</v>
          </cell>
          <cell r="DS20">
            <v>312</v>
          </cell>
          <cell r="DT20">
            <v>74</v>
          </cell>
          <cell r="DV20">
            <v>70</v>
          </cell>
          <cell r="DY20">
            <v>6</v>
          </cell>
          <cell r="DZ20">
            <v>69</v>
          </cell>
          <cell r="EA20">
            <v>16</v>
          </cell>
          <cell r="EB20">
            <v>17</v>
          </cell>
          <cell r="ED20">
            <v>4</v>
          </cell>
          <cell r="EE20">
            <v>12</v>
          </cell>
          <cell r="EF20">
            <v>455</v>
          </cell>
          <cell r="EH20">
            <v>17</v>
          </cell>
          <cell r="EJ20">
            <v>7635</v>
          </cell>
          <cell r="EU20">
            <v>17</v>
          </cell>
          <cell r="EV20">
            <v>20</v>
          </cell>
          <cell r="EW20">
            <v>1001</v>
          </cell>
          <cell r="EY20">
            <v>180</v>
          </cell>
          <cell r="FC20">
            <v>159</v>
          </cell>
          <cell r="FD20">
            <v>0</v>
          </cell>
          <cell r="FF20">
            <v>105</v>
          </cell>
          <cell r="FG20">
            <v>8</v>
          </cell>
          <cell r="FM20">
            <v>922</v>
          </cell>
        </row>
        <row r="21">
          <cell r="B21">
            <v>40</v>
          </cell>
          <cell r="F21">
            <v>25</v>
          </cell>
          <cell r="G21">
            <v>0</v>
          </cell>
          <cell r="H21">
            <v>145</v>
          </cell>
          <cell r="M21">
            <v>96</v>
          </cell>
          <cell r="N21">
            <v>54</v>
          </cell>
          <cell r="Q21">
            <v>29</v>
          </cell>
          <cell r="T21">
            <v>260</v>
          </cell>
          <cell r="U21">
            <v>80</v>
          </cell>
          <cell r="V21">
            <v>8</v>
          </cell>
          <cell r="AC21">
            <v>900</v>
          </cell>
          <cell r="AG21">
            <v>32</v>
          </cell>
          <cell r="AH21">
            <v>180</v>
          </cell>
          <cell r="AI21">
            <v>250</v>
          </cell>
          <cell r="AJ21">
            <v>130</v>
          </cell>
          <cell r="AL21">
            <v>21</v>
          </cell>
          <cell r="AM21">
            <v>50</v>
          </cell>
          <cell r="AP21">
            <v>328</v>
          </cell>
          <cell r="AQ21">
            <v>300</v>
          </cell>
          <cell r="AR21">
            <v>250</v>
          </cell>
          <cell r="AS21">
            <v>300</v>
          </cell>
          <cell r="AU21">
            <v>11</v>
          </cell>
          <cell r="AV21">
            <v>0</v>
          </cell>
          <cell r="AW21">
            <v>36</v>
          </cell>
          <cell r="AX21">
            <v>30</v>
          </cell>
          <cell r="AZ21">
            <v>30</v>
          </cell>
          <cell r="BA21">
            <v>21</v>
          </cell>
          <cell r="BD21">
            <v>173</v>
          </cell>
          <cell r="BE21">
            <v>16</v>
          </cell>
          <cell r="BJ21">
            <v>0</v>
          </cell>
          <cell r="BK21">
            <v>280</v>
          </cell>
          <cell r="BM21">
            <v>35</v>
          </cell>
          <cell r="BN21">
            <v>12</v>
          </cell>
          <cell r="BR21">
            <v>28</v>
          </cell>
          <cell r="BS21">
            <v>0</v>
          </cell>
          <cell r="BW21">
            <v>0</v>
          </cell>
          <cell r="BX21">
            <v>18</v>
          </cell>
          <cell r="BY21">
            <v>18</v>
          </cell>
          <cell r="CC21">
            <v>114</v>
          </cell>
          <cell r="CD21">
            <v>36</v>
          </cell>
          <cell r="CE21">
            <v>90</v>
          </cell>
          <cell r="CG21">
            <v>32</v>
          </cell>
          <cell r="CH21">
            <v>80</v>
          </cell>
          <cell r="CJ21">
            <v>8</v>
          </cell>
          <cell r="CK21">
            <v>52</v>
          </cell>
          <cell r="CS21">
            <v>253</v>
          </cell>
          <cell r="CU21">
            <v>62</v>
          </cell>
          <cell r="CZ21">
            <v>5</v>
          </cell>
          <cell r="DA21">
            <v>0</v>
          </cell>
          <cell r="DM21">
            <v>45</v>
          </cell>
          <cell r="DO21">
            <v>110</v>
          </cell>
          <cell r="DP21">
            <v>100</v>
          </cell>
          <cell r="DQ21">
            <v>176</v>
          </cell>
          <cell r="DR21">
            <v>60</v>
          </cell>
          <cell r="DS21">
            <v>338</v>
          </cell>
          <cell r="DT21">
            <v>16</v>
          </cell>
          <cell r="DV21">
            <v>38</v>
          </cell>
          <cell r="DY21">
            <v>2</v>
          </cell>
          <cell r="DZ21">
            <v>75</v>
          </cell>
          <cell r="EB21">
            <v>0</v>
          </cell>
          <cell r="ED21">
            <v>1</v>
          </cell>
          <cell r="EE21">
            <v>2</v>
          </cell>
          <cell r="EF21">
            <v>406</v>
          </cell>
          <cell r="EH21">
            <v>0</v>
          </cell>
          <cell r="EJ21">
            <v>6646</v>
          </cell>
          <cell r="EU21">
            <v>17</v>
          </cell>
          <cell r="EV21">
            <v>4</v>
          </cell>
          <cell r="EW21">
            <v>928</v>
          </cell>
          <cell r="EY21">
            <v>180</v>
          </cell>
          <cell r="FC21">
            <v>150</v>
          </cell>
          <cell r="FD21">
            <v>0</v>
          </cell>
          <cell r="FF21">
            <v>90</v>
          </cell>
          <cell r="FG21">
            <v>9</v>
          </cell>
          <cell r="FM21">
            <v>921</v>
          </cell>
        </row>
        <row r="23">
          <cell r="B23">
            <v>40</v>
          </cell>
          <cell r="F23">
            <v>25</v>
          </cell>
          <cell r="H23">
            <v>143</v>
          </cell>
          <cell r="M23">
            <v>101</v>
          </cell>
          <cell r="N23">
            <v>66</v>
          </cell>
          <cell r="Q23">
            <v>30</v>
          </cell>
          <cell r="T23">
            <v>277</v>
          </cell>
          <cell r="U23">
            <v>80</v>
          </cell>
          <cell r="V23">
            <v>36</v>
          </cell>
          <cell r="AC23">
            <v>1045</v>
          </cell>
          <cell r="AG23">
            <v>30</v>
          </cell>
          <cell r="AH23">
            <v>191</v>
          </cell>
          <cell r="AI23">
            <v>345</v>
          </cell>
          <cell r="AJ23">
            <v>194</v>
          </cell>
          <cell r="AL23">
            <v>12</v>
          </cell>
          <cell r="AM23">
            <v>50</v>
          </cell>
          <cell r="AP23">
            <v>348</v>
          </cell>
          <cell r="AQ23">
            <v>300</v>
          </cell>
          <cell r="AR23">
            <v>250</v>
          </cell>
          <cell r="AS23">
            <v>300</v>
          </cell>
          <cell r="AU23">
            <v>11</v>
          </cell>
          <cell r="AW23">
            <v>36</v>
          </cell>
          <cell r="AX23">
            <v>30</v>
          </cell>
          <cell r="AZ23">
            <v>30</v>
          </cell>
          <cell r="BA23">
            <v>78</v>
          </cell>
          <cell r="BD23">
            <v>172</v>
          </cell>
          <cell r="BE23">
            <v>16</v>
          </cell>
          <cell r="BK23">
            <v>300</v>
          </cell>
          <cell r="BM23">
            <v>35</v>
          </cell>
          <cell r="BN23">
            <v>12</v>
          </cell>
          <cell r="BR23">
            <v>40</v>
          </cell>
          <cell r="BS23">
            <v>7</v>
          </cell>
          <cell r="BW23">
            <v>6</v>
          </cell>
          <cell r="BX23">
            <v>18</v>
          </cell>
          <cell r="BY23">
            <v>21</v>
          </cell>
          <cell r="CC23">
            <v>114</v>
          </cell>
          <cell r="CD23">
            <v>36</v>
          </cell>
          <cell r="CE23">
            <v>90</v>
          </cell>
          <cell r="CG23">
            <v>25</v>
          </cell>
          <cell r="CH23">
            <v>62</v>
          </cell>
          <cell r="CJ23">
            <v>16</v>
          </cell>
          <cell r="CK23">
            <v>52</v>
          </cell>
          <cell r="CS23">
            <v>296</v>
          </cell>
          <cell r="CU23">
            <v>67</v>
          </cell>
          <cell r="CZ23">
            <v>28</v>
          </cell>
          <cell r="DA23">
            <v>16</v>
          </cell>
          <cell r="DM23">
            <v>37</v>
          </cell>
          <cell r="DO23">
            <v>111</v>
          </cell>
          <cell r="DP23">
            <v>100</v>
          </cell>
          <cell r="DQ23">
            <v>178</v>
          </cell>
          <cell r="DR23">
            <v>75</v>
          </cell>
          <cell r="DS23">
            <v>345</v>
          </cell>
          <cell r="DT23">
            <v>19</v>
          </cell>
          <cell r="DV23">
            <v>70</v>
          </cell>
          <cell r="DZ23">
            <v>90</v>
          </cell>
          <cell r="EA23">
            <v>9</v>
          </cell>
          <cell r="ED23">
            <v>0</v>
          </cell>
          <cell r="EF23">
            <v>540</v>
          </cell>
          <cell r="EJ23">
            <v>7445</v>
          </cell>
          <cell r="ER23">
            <v>24</v>
          </cell>
          <cell r="EU23">
            <v>17</v>
          </cell>
          <cell r="EW23">
            <v>956</v>
          </cell>
          <cell r="EX23">
            <v>17</v>
          </cell>
          <cell r="EY23">
            <v>220</v>
          </cell>
          <cell r="FA23">
            <v>16</v>
          </cell>
          <cell r="FC23">
            <v>228</v>
          </cell>
          <cell r="FF23">
            <v>105</v>
          </cell>
          <cell r="FG23">
            <v>11</v>
          </cell>
          <cell r="FM23">
            <v>879</v>
          </cell>
        </row>
        <row r="24">
          <cell r="B24">
            <v>40</v>
          </cell>
          <cell r="F24">
            <v>25</v>
          </cell>
          <cell r="H24">
            <v>146</v>
          </cell>
          <cell r="M24">
            <v>101</v>
          </cell>
          <cell r="N24">
            <v>70</v>
          </cell>
          <cell r="Q24">
            <v>30</v>
          </cell>
          <cell r="T24">
            <v>265</v>
          </cell>
          <cell r="U24">
            <v>145</v>
          </cell>
          <cell r="V24">
            <v>36</v>
          </cell>
          <cell r="AC24">
            <v>1085</v>
          </cell>
          <cell r="AG24">
            <v>31</v>
          </cell>
          <cell r="AH24">
            <v>180</v>
          </cell>
          <cell r="AI24">
            <v>345</v>
          </cell>
          <cell r="AJ24">
            <v>250</v>
          </cell>
          <cell r="AL24">
            <v>12</v>
          </cell>
          <cell r="AM24">
            <v>50</v>
          </cell>
          <cell r="AP24">
            <v>333</v>
          </cell>
          <cell r="AQ24">
            <v>300</v>
          </cell>
          <cell r="AR24">
            <v>250</v>
          </cell>
          <cell r="AS24">
            <v>300</v>
          </cell>
          <cell r="AU24">
            <v>11</v>
          </cell>
          <cell r="AW24">
            <v>36</v>
          </cell>
          <cell r="AX24">
            <v>30</v>
          </cell>
          <cell r="AZ24">
            <v>30</v>
          </cell>
          <cell r="BA24">
            <v>78</v>
          </cell>
          <cell r="BD24">
            <v>174</v>
          </cell>
          <cell r="BE24">
            <v>17</v>
          </cell>
          <cell r="BK24">
            <v>270</v>
          </cell>
          <cell r="BM24">
            <v>35</v>
          </cell>
          <cell r="BN24">
            <v>12</v>
          </cell>
          <cell r="BR24">
            <v>44</v>
          </cell>
          <cell r="BS24">
            <v>3</v>
          </cell>
          <cell r="BW24">
            <v>6</v>
          </cell>
          <cell r="BX24">
            <v>18</v>
          </cell>
          <cell r="BY24">
            <v>22</v>
          </cell>
          <cell r="CC24">
            <v>114</v>
          </cell>
          <cell r="CD24">
            <v>38</v>
          </cell>
          <cell r="CE24">
            <v>90</v>
          </cell>
          <cell r="CG24">
            <v>25</v>
          </cell>
          <cell r="CH24">
            <v>87</v>
          </cell>
          <cell r="CJ24">
            <v>52</v>
          </cell>
          <cell r="CK24">
            <v>52</v>
          </cell>
          <cell r="CS24">
            <v>256</v>
          </cell>
          <cell r="CU24">
            <v>67</v>
          </cell>
          <cell r="CZ24">
            <v>51</v>
          </cell>
          <cell r="DA24">
            <v>16</v>
          </cell>
          <cell r="DM24">
            <v>60</v>
          </cell>
          <cell r="DO24">
            <v>111</v>
          </cell>
          <cell r="DP24">
            <v>100</v>
          </cell>
          <cell r="DQ24">
            <v>200</v>
          </cell>
          <cell r="DR24">
            <v>126</v>
          </cell>
          <cell r="DS24">
            <v>364</v>
          </cell>
          <cell r="DT24">
            <v>96</v>
          </cell>
          <cell r="DV24">
            <v>70</v>
          </cell>
          <cell r="DZ24">
            <v>90</v>
          </cell>
          <cell r="EA24">
            <v>17</v>
          </cell>
          <cell r="ED24">
            <v>0</v>
          </cell>
          <cell r="EF24">
            <v>553</v>
          </cell>
          <cell r="EH24">
            <v>28</v>
          </cell>
          <cell r="EJ24">
            <v>7824</v>
          </cell>
          <cell r="ER24">
            <v>39</v>
          </cell>
          <cell r="EU24">
            <v>17</v>
          </cell>
          <cell r="EW24">
            <v>1072</v>
          </cell>
          <cell r="EX24">
            <v>17</v>
          </cell>
          <cell r="EY24">
            <v>220</v>
          </cell>
          <cell r="FA24">
            <v>16</v>
          </cell>
          <cell r="FC24">
            <v>307</v>
          </cell>
          <cell r="FF24">
            <v>105</v>
          </cell>
          <cell r="FG24">
            <v>11</v>
          </cell>
          <cell r="FM24">
            <v>879</v>
          </cell>
        </row>
        <row r="25">
          <cell r="B25">
            <v>40</v>
          </cell>
          <cell r="F25">
            <v>25</v>
          </cell>
          <cell r="H25">
            <v>145</v>
          </cell>
          <cell r="M25">
            <v>101</v>
          </cell>
          <cell r="N25">
            <v>76</v>
          </cell>
          <cell r="Q25">
            <v>30</v>
          </cell>
          <cell r="T25">
            <v>273</v>
          </cell>
          <cell r="U25">
            <v>80</v>
          </cell>
          <cell r="V25">
            <v>55</v>
          </cell>
          <cell r="AC25">
            <v>1147</v>
          </cell>
          <cell r="AG25">
            <v>32</v>
          </cell>
          <cell r="AH25">
            <v>191</v>
          </cell>
          <cell r="AI25">
            <v>345</v>
          </cell>
          <cell r="AJ25">
            <v>245</v>
          </cell>
          <cell r="AL25">
            <v>40</v>
          </cell>
          <cell r="AM25">
            <v>70</v>
          </cell>
          <cell r="AP25">
            <v>334</v>
          </cell>
          <cell r="AQ25">
            <v>300</v>
          </cell>
          <cell r="AR25">
            <v>250</v>
          </cell>
          <cell r="AS25">
            <v>300</v>
          </cell>
          <cell r="AU25">
            <v>11</v>
          </cell>
          <cell r="AW25">
            <v>38</v>
          </cell>
          <cell r="AX25">
            <v>30</v>
          </cell>
          <cell r="AZ25">
            <v>30</v>
          </cell>
          <cell r="BA25">
            <v>78</v>
          </cell>
          <cell r="BD25">
            <v>173</v>
          </cell>
          <cell r="BE25">
            <v>17</v>
          </cell>
          <cell r="BK25">
            <v>290</v>
          </cell>
          <cell r="BM25">
            <v>35</v>
          </cell>
          <cell r="BN25">
            <v>12</v>
          </cell>
          <cell r="BR25">
            <v>46</v>
          </cell>
          <cell r="BS25">
            <v>5</v>
          </cell>
          <cell r="BW25">
            <v>6</v>
          </cell>
          <cell r="BX25">
            <v>18</v>
          </cell>
          <cell r="BY25">
            <v>21</v>
          </cell>
          <cell r="CC25">
            <v>114</v>
          </cell>
          <cell r="CD25">
            <v>39</v>
          </cell>
          <cell r="CE25">
            <v>90</v>
          </cell>
          <cell r="CG25">
            <v>25</v>
          </cell>
          <cell r="CH25">
            <v>117</v>
          </cell>
          <cell r="CJ25">
            <v>52</v>
          </cell>
          <cell r="CK25">
            <v>52</v>
          </cell>
          <cell r="CS25">
            <v>295</v>
          </cell>
          <cell r="CU25">
            <v>67</v>
          </cell>
          <cell r="CZ25">
            <v>51</v>
          </cell>
          <cell r="DA25">
            <v>16</v>
          </cell>
          <cell r="DM25">
            <v>128</v>
          </cell>
          <cell r="DO25">
            <v>111</v>
          </cell>
          <cell r="DP25">
            <v>88</v>
          </cell>
          <cell r="DQ25">
            <v>191</v>
          </cell>
          <cell r="DR25">
            <v>60</v>
          </cell>
          <cell r="DS25">
            <v>346</v>
          </cell>
          <cell r="DT25">
            <v>100</v>
          </cell>
          <cell r="DV25">
            <v>36</v>
          </cell>
          <cell r="DX25">
            <v>2</v>
          </cell>
          <cell r="DZ25">
            <v>90</v>
          </cell>
          <cell r="EA25">
            <v>17</v>
          </cell>
          <cell r="ED25">
            <v>0</v>
          </cell>
          <cell r="EF25">
            <v>552</v>
          </cell>
          <cell r="EH25">
            <v>52</v>
          </cell>
          <cell r="EJ25">
            <v>7931</v>
          </cell>
          <cell r="EU25">
            <v>34</v>
          </cell>
          <cell r="EW25">
            <v>1123</v>
          </cell>
          <cell r="EY25">
            <v>220</v>
          </cell>
          <cell r="FA25">
            <v>16</v>
          </cell>
          <cell r="FC25">
            <v>307</v>
          </cell>
          <cell r="FF25">
            <v>105</v>
          </cell>
          <cell r="FG25">
            <v>10</v>
          </cell>
          <cell r="FM25">
            <v>879</v>
          </cell>
        </row>
        <row r="26">
          <cell r="B26">
            <v>40</v>
          </cell>
          <cell r="F26">
            <v>8</v>
          </cell>
          <cell r="H26">
            <v>148</v>
          </cell>
          <cell r="M26">
            <v>100</v>
          </cell>
          <cell r="N26">
            <v>76</v>
          </cell>
          <cell r="Q26">
            <v>31</v>
          </cell>
          <cell r="T26">
            <v>268</v>
          </cell>
          <cell r="U26">
            <v>15</v>
          </cell>
          <cell r="V26">
            <v>73</v>
          </cell>
          <cell r="AC26">
            <v>1224</v>
          </cell>
          <cell r="AG26">
            <v>33</v>
          </cell>
          <cell r="AH26">
            <v>180</v>
          </cell>
          <cell r="AI26">
            <v>345</v>
          </cell>
          <cell r="AJ26">
            <v>250</v>
          </cell>
          <cell r="AL26">
            <v>53</v>
          </cell>
          <cell r="AM26">
            <v>70</v>
          </cell>
          <cell r="AP26">
            <v>341</v>
          </cell>
          <cell r="AQ26">
            <v>300</v>
          </cell>
          <cell r="AR26">
            <v>250</v>
          </cell>
          <cell r="AS26">
            <v>300</v>
          </cell>
          <cell r="AU26">
            <v>11</v>
          </cell>
          <cell r="AW26">
            <v>38</v>
          </cell>
          <cell r="AX26">
            <v>30</v>
          </cell>
          <cell r="AZ26">
            <v>30</v>
          </cell>
          <cell r="BA26">
            <v>78</v>
          </cell>
          <cell r="BD26">
            <v>173</v>
          </cell>
          <cell r="BE26">
            <v>17</v>
          </cell>
          <cell r="BK26">
            <v>295</v>
          </cell>
          <cell r="BM26">
            <v>35</v>
          </cell>
          <cell r="BN26">
            <v>12</v>
          </cell>
          <cell r="BR26">
            <v>44</v>
          </cell>
          <cell r="BS26">
            <v>8</v>
          </cell>
          <cell r="BW26">
            <v>18</v>
          </cell>
          <cell r="BX26">
            <v>17</v>
          </cell>
          <cell r="BY26">
            <v>21</v>
          </cell>
          <cell r="CC26">
            <v>114</v>
          </cell>
          <cell r="CD26">
            <v>39</v>
          </cell>
          <cell r="CE26">
            <v>90</v>
          </cell>
          <cell r="CG26">
            <v>25</v>
          </cell>
          <cell r="CH26">
            <v>147</v>
          </cell>
          <cell r="CJ26">
            <v>8</v>
          </cell>
          <cell r="CK26">
            <v>52</v>
          </cell>
          <cell r="CS26">
            <v>290</v>
          </cell>
          <cell r="CU26">
            <v>67</v>
          </cell>
          <cell r="CZ26">
            <v>51</v>
          </cell>
          <cell r="DM26">
            <v>165</v>
          </cell>
          <cell r="DO26">
            <v>112</v>
          </cell>
          <cell r="DP26">
            <v>100</v>
          </cell>
          <cell r="DQ26">
            <v>170</v>
          </cell>
          <cell r="DR26">
            <v>30</v>
          </cell>
          <cell r="DS26">
            <v>356</v>
          </cell>
          <cell r="DT26">
            <v>96</v>
          </cell>
          <cell r="DV26">
            <v>36</v>
          </cell>
          <cell r="DX26">
            <v>17</v>
          </cell>
          <cell r="DZ26">
            <v>90</v>
          </cell>
          <cell r="EA26">
            <v>17</v>
          </cell>
          <cell r="ED26">
            <v>0</v>
          </cell>
          <cell r="EF26">
            <v>557</v>
          </cell>
          <cell r="EH26">
            <v>52</v>
          </cell>
          <cell r="EJ26">
            <v>7872</v>
          </cell>
          <cell r="EU26">
            <v>52</v>
          </cell>
          <cell r="EW26">
            <v>1220</v>
          </cell>
          <cell r="EY26">
            <v>220</v>
          </cell>
          <cell r="FA26">
            <v>16</v>
          </cell>
          <cell r="FC26">
            <v>307</v>
          </cell>
          <cell r="FF26">
            <v>105</v>
          </cell>
          <cell r="FG26">
            <v>11</v>
          </cell>
          <cell r="FM26">
            <v>926</v>
          </cell>
        </row>
        <row r="27">
          <cell r="B27">
            <v>40</v>
          </cell>
          <cell r="F27">
            <v>8</v>
          </cell>
          <cell r="H27">
            <v>147</v>
          </cell>
          <cell r="M27">
            <v>101</v>
          </cell>
          <cell r="N27">
            <v>76</v>
          </cell>
          <cell r="Q27">
            <v>31</v>
          </cell>
          <cell r="T27">
            <v>277</v>
          </cell>
          <cell r="U27">
            <v>15</v>
          </cell>
          <cell r="V27">
            <v>73</v>
          </cell>
          <cell r="AC27">
            <v>1224</v>
          </cell>
          <cell r="AG27">
            <v>33</v>
          </cell>
          <cell r="AH27">
            <v>205</v>
          </cell>
          <cell r="AI27">
            <v>345</v>
          </cell>
          <cell r="AJ27">
            <v>240</v>
          </cell>
          <cell r="AL27">
            <v>51</v>
          </cell>
          <cell r="AM27">
            <v>70</v>
          </cell>
          <cell r="AP27">
            <v>353</v>
          </cell>
          <cell r="AQ27">
            <v>300</v>
          </cell>
          <cell r="AR27">
            <v>250</v>
          </cell>
          <cell r="AS27">
            <v>300</v>
          </cell>
          <cell r="AU27">
            <v>8</v>
          </cell>
          <cell r="AW27">
            <v>38</v>
          </cell>
          <cell r="AX27">
            <v>30</v>
          </cell>
          <cell r="AZ27">
            <v>30</v>
          </cell>
          <cell r="BA27">
            <v>78</v>
          </cell>
          <cell r="BD27">
            <v>174</v>
          </cell>
          <cell r="BE27">
            <v>17</v>
          </cell>
          <cell r="BK27">
            <v>310</v>
          </cell>
          <cell r="BM27">
            <v>35</v>
          </cell>
          <cell r="BN27">
            <v>12</v>
          </cell>
          <cell r="BR27">
            <v>46</v>
          </cell>
          <cell r="BS27">
            <v>17</v>
          </cell>
          <cell r="BW27">
            <v>20</v>
          </cell>
          <cell r="BX27">
            <v>17</v>
          </cell>
          <cell r="BY27">
            <v>21</v>
          </cell>
          <cell r="CC27">
            <v>114</v>
          </cell>
          <cell r="CD27">
            <v>38</v>
          </cell>
          <cell r="CE27">
            <v>90</v>
          </cell>
          <cell r="CG27">
            <v>25</v>
          </cell>
          <cell r="CH27">
            <v>147</v>
          </cell>
          <cell r="CJ27">
            <v>8</v>
          </cell>
          <cell r="CK27">
            <v>52</v>
          </cell>
          <cell r="CS27">
            <v>260</v>
          </cell>
          <cell r="CU27">
            <v>67</v>
          </cell>
          <cell r="CZ27">
            <v>51</v>
          </cell>
          <cell r="DM27">
            <v>169</v>
          </cell>
          <cell r="DO27">
            <v>113</v>
          </cell>
          <cell r="DP27">
            <v>100</v>
          </cell>
          <cell r="DQ27">
            <v>161</v>
          </cell>
          <cell r="DR27">
            <v>43</v>
          </cell>
          <cell r="DS27">
            <v>400</v>
          </cell>
          <cell r="DT27">
            <v>96</v>
          </cell>
          <cell r="DV27">
            <v>80</v>
          </cell>
          <cell r="DX27">
            <v>17</v>
          </cell>
          <cell r="DZ27">
            <v>90</v>
          </cell>
          <cell r="EA27">
            <v>17</v>
          </cell>
          <cell r="ED27">
            <v>0</v>
          </cell>
          <cell r="EF27">
            <v>557</v>
          </cell>
          <cell r="EH27">
            <v>52</v>
          </cell>
          <cell r="EJ27">
            <v>8012</v>
          </cell>
          <cell r="EU27">
            <v>51</v>
          </cell>
          <cell r="EW27">
            <v>988</v>
          </cell>
          <cell r="EY27">
            <v>220</v>
          </cell>
          <cell r="FA27">
            <v>16</v>
          </cell>
          <cell r="FC27">
            <v>307</v>
          </cell>
          <cell r="FF27">
            <v>115</v>
          </cell>
          <cell r="FG27">
            <v>10</v>
          </cell>
          <cell r="FM27">
            <v>926</v>
          </cell>
        </row>
        <row r="28">
          <cell r="B28">
            <v>40</v>
          </cell>
          <cell r="F28">
            <v>8</v>
          </cell>
          <cell r="H28">
            <v>147</v>
          </cell>
          <cell r="M28">
            <v>101</v>
          </cell>
          <cell r="N28">
            <v>76</v>
          </cell>
          <cell r="Q28">
            <v>31</v>
          </cell>
          <cell r="T28">
            <v>260</v>
          </cell>
          <cell r="U28">
            <v>145</v>
          </cell>
          <cell r="V28">
            <v>73</v>
          </cell>
          <cell r="AC28">
            <v>1225</v>
          </cell>
          <cell r="AG28">
            <v>33</v>
          </cell>
          <cell r="AH28">
            <v>195</v>
          </cell>
          <cell r="AI28">
            <v>345</v>
          </cell>
          <cell r="AJ28">
            <v>243</v>
          </cell>
          <cell r="AL28">
            <v>52</v>
          </cell>
          <cell r="AM28">
            <v>70</v>
          </cell>
          <cell r="AP28">
            <v>355</v>
          </cell>
          <cell r="AQ28">
            <v>300</v>
          </cell>
          <cell r="AR28">
            <v>250</v>
          </cell>
          <cell r="AS28">
            <v>300</v>
          </cell>
          <cell r="AU28">
            <v>8</v>
          </cell>
          <cell r="AW28">
            <v>37</v>
          </cell>
          <cell r="AX28">
            <v>30</v>
          </cell>
          <cell r="AZ28">
            <v>30</v>
          </cell>
          <cell r="BA28">
            <v>78</v>
          </cell>
          <cell r="BD28">
            <v>174</v>
          </cell>
          <cell r="BE28">
            <v>17</v>
          </cell>
          <cell r="BK28">
            <v>315</v>
          </cell>
          <cell r="BM28">
            <v>35</v>
          </cell>
          <cell r="BN28">
            <v>12</v>
          </cell>
          <cell r="BR28">
            <v>48</v>
          </cell>
          <cell r="BS28">
            <v>22</v>
          </cell>
          <cell r="BW28">
            <v>20</v>
          </cell>
          <cell r="BX28">
            <v>17</v>
          </cell>
          <cell r="BY28">
            <v>21</v>
          </cell>
          <cell r="CC28">
            <v>114</v>
          </cell>
          <cell r="CD28">
            <v>39</v>
          </cell>
          <cell r="CE28">
            <v>90</v>
          </cell>
          <cell r="CG28">
            <v>16</v>
          </cell>
          <cell r="CH28">
            <v>147</v>
          </cell>
          <cell r="CJ28">
            <v>43</v>
          </cell>
          <cell r="CK28">
            <v>52</v>
          </cell>
          <cell r="CS28">
            <v>260</v>
          </cell>
          <cell r="CU28">
            <v>67</v>
          </cell>
          <cell r="CZ28">
            <v>51</v>
          </cell>
          <cell r="DM28">
            <v>170</v>
          </cell>
          <cell r="DO28">
            <v>113</v>
          </cell>
          <cell r="DP28">
            <v>100</v>
          </cell>
          <cell r="DQ28">
            <v>159</v>
          </cell>
          <cell r="DR28">
            <v>75</v>
          </cell>
          <cell r="DS28">
            <v>359</v>
          </cell>
          <cell r="DT28">
            <v>65</v>
          </cell>
          <cell r="DV28">
            <v>100</v>
          </cell>
          <cell r="DX28">
            <v>17</v>
          </cell>
          <cell r="DZ28">
            <v>79</v>
          </cell>
          <cell r="EA28">
            <v>17</v>
          </cell>
          <cell r="EB28">
            <v>53</v>
          </cell>
          <cell r="ED28">
            <v>0</v>
          </cell>
          <cell r="EF28">
            <v>557</v>
          </cell>
          <cell r="EH28">
            <v>125</v>
          </cell>
          <cell r="EJ28">
            <v>8254</v>
          </cell>
          <cell r="EU28">
            <v>51</v>
          </cell>
          <cell r="EW28">
            <v>597</v>
          </cell>
          <cell r="EX28">
            <v>35</v>
          </cell>
          <cell r="EY28">
            <v>220</v>
          </cell>
          <cell r="FA28">
            <v>110</v>
          </cell>
          <cell r="FC28">
            <v>307</v>
          </cell>
          <cell r="FF28">
            <v>115</v>
          </cell>
          <cell r="FG28">
            <v>11</v>
          </cell>
          <cell r="FM28">
            <v>926</v>
          </cell>
        </row>
        <row r="29">
          <cell r="B29">
            <v>40</v>
          </cell>
          <cell r="F29">
            <v>17</v>
          </cell>
          <cell r="H29">
            <v>147</v>
          </cell>
          <cell r="M29">
            <v>94</v>
          </cell>
          <cell r="N29">
            <v>76</v>
          </cell>
          <cell r="O29">
            <v>69</v>
          </cell>
          <cell r="Q29">
            <v>31</v>
          </cell>
          <cell r="T29">
            <v>300</v>
          </cell>
          <cell r="U29">
            <v>175</v>
          </cell>
          <cell r="V29">
            <v>73</v>
          </cell>
          <cell r="AC29">
            <v>1164</v>
          </cell>
          <cell r="AG29">
            <v>36</v>
          </cell>
          <cell r="AH29">
            <v>201</v>
          </cell>
          <cell r="AI29">
            <v>345</v>
          </cell>
          <cell r="AJ29">
            <v>240</v>
          </cell>
          <cell r="AL29">
            <v>51</v>
          </cell>
          <cell r="AM29">
            <v>50</v>
          </cell>
          <cell r="AP29">
            <v>367</v>
          </cell>
          <cell r="AQ29">
            <v>300</v>
          </cell>
          <cell r="AR29">
            <v>250</v>
          </cell>
          <cell r="AS29">
            <v>300</v>
          </cell>
          <cell r="AU29">
            <v>12</v>
          </cell>
          <cell r="AW29">
            <v>36</v>
          </cell>
          <cell r="AX29">
            <v>30</v>
          </cell>
          <cell r="AZ29">
            <v>30</v>
          </cell>
          <cell r="BA29">
            <v>78</v>
          </cell>
          <cell r="BD29">
            <v>174</v>
          </cell>
          <cell r="BE29">
            <v>16</v>
          </cell>
          <cell r="BJ29">
            <v>6</v>
          </cell>
          <cell r="BK29">
            <v>320</v>
          </cell>
          <cell r="BN29">
            <v>12</v>
          </cell>
          <cell r="BR29">
            <v>50</v>
          </cell>
          <cell r="BS29">
            <v>22</v>
          </cell>
          <cell r="BW29">
            <v>20</v>
          </cell>
          <cell r="BX29">
            <v>17</v>
          </cell>
          <cell r="BY29">
            <v>21</v>
          </cell>
          <cell r="CC29">
            <v>114</v>
          </cell>
          <cell r="CD29">
            <v>15</v>
          </cell>
          <cell r="CE29">
            <v>90</v>
          </cell>
          <cell r="CG29">
            <v>16</v>
          </cell>
          <cell r="CH29">
            <v>147</v>
          </cell>
          <cell r="CJ29">
            <v>52</v>
          </cell>
          <cell r="CK29">
            <v>34</v>
          </cell>
          <cell r="CM29">
            <v>14</v>
          </cell>
          <cell r="CN29">
            <v>38</v>
          </cell>
          <cell r="CS29">
            <v>150</v>
          </cell>
          <cell r="CU29">
            <v>67</v>
          </cell>
          <cell r="CZ29">
            <v>51</v>
          </cell>
          <cell r="DM29">
            <v>24</v>
          </cell>
          <cell r="DO29">
            <v>113</v>
          </cell>
          <cell r="DP29">
            <v>100</v>
          </cell>
          <cell r="DQ29">
            <v>166</v>
          </cell>
          <cell r="DR29">
            <v>125</v>
          </cell>
          <cell r="DS29">
            <v>386</v>
          </cell>
          <cell r="DT29">
            <v>8</v>
          </cell>
          <cell r="DU29">
            <v>15</v>
          </cell>
          <cell r="DV29">
            <v>100</v>
          </cell>
          <cell r="DW29">
            <v>33</v>
          </cell>
          <cell r="DX29">
            <v>17</v>
          </cell>
          <cell r="DZ29">
            <v>52</v>
          </cell>
          <cell r="EA29">
            <v>17</v>
          </cell>
          <cell r="EB29">
            <v>90</v>
          </cell>
          <cell r="ED29">
            <v>0</v>
          </cell>
          <cell r="EF29">
            <v>554</v>
          </cell>
          <cell r="EH29">
            <v>90</v>
          </cell>
          <cell r="EJ29">
            <v>8059</v>
          </cell>
          <cell r="EU29">
            <v>17</v>
          </cell>
          <cell r="EW29">
            <v>600</v>
          </cell>
          <cell r="EX29">
            <v>150</v>
          </cell>
          <cell r="EY29">
            <v>220</v>
          </cell>
          <cell r="FA29">
            <v>110</v>
          </cell>
          <cell r="FC29">
            <v>307</v>
          </cell>
          <cell r="FF29">
            <v>115</v>
          </cell>
          <cell r="FG29">
            <v>11</v>
          </cell>
          <cell r="FM29">
            <v>926</v>
          </cell>
        </row>
        <row r="30">
          <cell r="B30">
            <v>946500</v>
          </cell>
          <cell r="F30">
            <v>294458</v>
          </cell>
          <cell r="G30">
            <v>129195</v>
          </cell>
          <cell r="H30">
            <v>3450145</v>
          </cell>
          <cell r="M30">
            <v>1429261</v>
          </cell>
          <cell r="N30">
            <v>991392</v>
          </cell>
          <cell r="O30">
            <v>749382</v>
          </cell>
          <cell r="Q30">
            <v>752032</v>
          </cell>
          <cell r="T30">
            <v>6278166</v>
          </cell>
          <cell r="U30">
            <v>3212138</v>
          </cell>
          <cell r="V30">
            <v>2442182</v>
          </cell>
          <cell r="AC30">
            <v>27654543</v>
          </cell>
          <cell r="AG30">
            <v>780552</v>
          </cell>
          <cell r="AH30">
            <v>4856000</v>
          </cell>
          <cell r="AI30">
            <v>8090000</v>
          </cell>
          <cell r="AJ30">
            <v>4412400</v>
          </cell>
          <cell r="AL30">
            <v>932160</v>
          </cell>
          <cell r="AM30">
            <v>1356820</v>
          </cell>
          <cell r="AP30">
            <v>8521200</v>
          </cell>
          <cell r="AQ30">
            <v>7565454</v>
          </cell>
          <cell r="AR30">
            <v>6127176</v>
          </cell>
          <cell r="AS30">
            <v>7661500</v>
          </cell>
          <cell r="AU30">
            <v>320640</v>
          </cell>
          <cell r="AV30">
            <v>273250</v>
          </cell>
          <cell r="AW30">
            <v>866000</v>
          </cell>
          <cell r="AX30">
            <v>677640</v>
          </cell>
          <cell r="AZ30">
            <v>674688</v>
          </cell>
          <cell r="BA30">
            <v>1727040</v>
          </cell>
          <cell r="BD30">
            <v>4574170</v>
          </cell>
          <cell r="BE30">
            <v>389000</v>
          </cell>
          <cell r="BJ30">
            <v>80112</v>
          </cell>
          <cell r="BK30">
            <v>7407000</v>
          </cell>
          <cell r="BM30">
            <v>600325</v>
          </cell>
          <cell r="BN30">
            <v>289440</v>
          </cell>
          <cell r="BR30">
            <v>998400</v>
          </cell>
          <cell r="BS30">
            <v>277440</v>
          </cell>
          <cell r="BW30">
            <v>385560</v>
          </cell>
          <cell r="BX30">
            <v>379200</v>
          </cell>
          <cell r="BY30">
            <v>498240</v>
          </cell>
          <cell r="CC30">
            <v>2696100</v>
          </cell>
          <cell r="CD30">
            <v>441840</v>
          </cell>
          <cell r="CE30">
            <v>1771200</v>
          </cell>
          <cell r="CG30">
            <v>470880</v>
          </cell>
          <cell r="CH30">
            <v>2218560</v>
          </cell>
          <cell r="CJ30">
            <v>957758</v>
          </cell>
          <cell r="CK30">
            <v>926400</v>
          </cell>
          <cell r="CL30">
            <v>26926</v>
          </cell>
          <cell r="CM30">
            <v>195504</v>
          </cell>
          <cell r="CN30">
            <v>878182</v>
          </cell>
          <cell r="CS30">
            <v>6759156</v>
          </cell>
          <cell r="CU30">
            <v>796800</v>
          </cell>
          <cell r="CZ30">
            <v>1148676</v>
          </cell>
          <cell r="DA30">
            <v>226080</v>
          </cell>
          <cell r="DM30">
            <v>2544000</v>
          </cell>
          <cell r="DO30">
            <v>2626416</v>
          </cell>
          <cell r="DP30">
            <v>2243520</v>
          </cell>
          <cell r="DQ30">
            <v>3679200</v>
          </cell>
          <cell r="DR30">
            <v>2072509</v>
          </cell>
          <cell r="DS30">
            <v>8532000</v>
          </cell>
          <cell r="DT30">
            <v>1480800</v>
          </cell>
          <cell r="DU30">
            <v>474218</v>
          </cell>
          <cell r="DV30">
            <v>1632000</v>
          </cell>
          <cell r="DW30">
            <v>489273</v>
          </cell>
          <cell r="DX30">
            <v>132840</v>
          </cell>
          <cell r="DY30">
            <v>214565</v>
          </cell>
          <cell r="DZ30">
            <v>1660800</v>
          </cell>
          <cell r="EA30">
            <v>403920</v>
          </cell>
          <cell r="EB30">
            <v>1134109</v>
          </cell>
          <cell r="ED30">
            <v>53280</v>
          </cell>
          <cell r="EE30">
            <v>497845</v>
          </cell>
          <cell r="EF30">
            <v>12443636</v>
          </cell>
          <cell r="EH30">
            <v>1497600</v>
          </cell>
          <cell r="EJ30">
            <v>188965413</v>
          </cell>
          <cell r="ER30">
            <v>30720</v>
          </cell>
          <cell r="EU30">
            <v>410400</v>
          </cell>
          <cell r="EV30">
            <v>712800</v>
          </cell>
          <cell r="EW30">
            <v>22720004</v>
          </cell>
          <cell r="EX30">
            <v>529200</v>
          </cell>
          <cell r="EY30">
            <v>5216510</v>
          </cell>
          <cell r="FA30">
            <v>471360</v>
          </cell>
          <cell r="FC30">
            <v>6501000</v>
          </cell>
          <cell r="FD30">
            <v>5013</v>
          </cell>
          <cell r="FF30">
            <v>2605000</v>
          </cell>
          <cell r="FG30">
            <v>237063</v>
          </cell>
          <cell r="FJ30">
            <v>4096</v>
          </cell>
          <cell r="FM30">
            <v>22062545</v>
          </cell>
        </row>
        <row r="33">
          <cell r="E33" t="str">
            <v xml:space="preserve">                                                              </v>
          </cell>
          <cell r="EG33" t="str">
            <v/>
          </cell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uelWise"/>
      <sheetName val="All data"/>
      <sheetName val="Gen-2"/>
      <sheetName val="EWIC"/>
      <sheetName val="Ev report"/>
      <sheetName val="EvReport2"/>
      <sheetName val="MVAR"/>
      <sheetName val="SMSs"/>
      <sheetName val="Sheet1"/>
      <sheetName val="NSI Reading"/>
      <sheetName val="Sheet2"/>
    </sheetNames>
    <sheetDataSet>
      <sheetData sheetId="0">
        <row r="5">
          <cell r="B5">
            <v>30</v>
          </cell>
          <cell r="C5">
            <v>0</v>
          </cell>
          <cell r="D5">
            <v>0</v>
          </cell>
          <cell r="E5">
            <v>0</v>
          </cell>
          <cell r="F5">
            <v>26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67</v>
          </cell>
          <cell r="R5">
            <v>0</v>
          </cell>
          <cell r="S5">
            <v>0</v>
          </cell>
          <cell r="T5">
            <v>121</v>
          </cell>
          <cell r="U5">
            <v>35</v>
          </cell>
          <cell r="V5">
            <v>0</v>
          </cell>
          <cell r="W5">
            <v>0</v>
          </cell>
          <cell r="X5">
            <v>200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150</v>
          </cell>
          <cell r="AE5">
            <v>0</v>
          </cell>
          <cell r="AF5">
            <v>0</v>
          </cell>
          <cell r="AG5">
            <v>40</v>
          </cell>
          <cell r="AH5">
            <v>85</v>
          </cell>
          <cell r="AI5">
            <v>100</v>
          </cell>
          <cell r="AJ5">
            <v>230</v>
          </cell>
          <cell r="AK5">
            <v>5</v>
          </cell>
          <cell r="AL5">
            <v>0</v>
          </cell>
          <cell r="AM5">
            <v>0</v>
          </cell>
          <cell r="AN5">
            <v>0</v>
          </cell>
          <cell r="AO5">
            <v>400</v>
          </cell>
          <cell r="AP5">
            <v>380</v>
          </cell>
          <cell r="AQ5">
            <v>316</v>
          </cell>
          <cell r="AR5">
            <v>71</v>
          </cell>
          <cell r="AS5">
            <v>0</v>
          </cell>
          <cell r="AT5">
            <v>68</v>
          </cell>
          <cell r="AU5">
            <v>22</v>
          </cell>
          <cell r="AV5">
            <v>182</v>
          </cell>
          <cell r="AW5">
            <v>63</v>
          </cell>
          <cell r="AX5">
            <v>10</v>
          </cell>
          <cell r="AY5">
            <v>2</v>
          </cell>
          <cell r="AZ5">
            <v>68</v>
          </cell>
          <cell r="BA5">
            <v>0</v>
          </cell>
          <cell r="BB5">
            <v>5</v>
          </cell>
          <cell r="BC5">
            <v>0</v>
          </cell>
          <cell r="BD5">
            <v>11</v>
          </cell>
          <cell r="BE5">
            <v>5</v>
          </cell>
          <cell r="BF5">
            <v>24</v>
          </cell>
          <cell r="BG5">
            <v>250</v>
          </cell>
          <cell r="BH5">
            <v>0</v>
          </cell>
          <cell r="BI5">
            <v>42</v>
          </cell>
          <cell r="BJ5">
            <v>15</v>
          </cell>
          <cell r="BK5">
            <v>19</v>
          </cell>
          <cell r="BL5">
            <v>22</v>
          </cell>
          <cell r="BM5">
            <v>76</v>
          </cell>
          <cell r="BN5">
            <v>27</v>
          </cell>
          <cell r="BO5">
            <v>21</v>
          </cell>
          <cell r="BP5">
            <v>11</v>
          </cell>
          <cell r="BQ5">
            <v>33</v>
          </cell>
          <cell r="BR5">
            <v>23</v>
          </cell>
          <cell r="BS5">
            <v>15</v>
          </cell>
          <cell r="BT5">
            <v>30</v>
          </cell>
          <cell r="BU5">
            <v>33</v>
          </cell>
          <cell r="BV5">
            <v>33</v>
          </cell>
          <cell r="BW5">
            <v>107</v>
          </cell>
          <cell r="BX5">
            <v>32</v>
          </cell>
          <cell r="BY5">
            <v>71</v>
          </cell>
          <cell r="BZ5">
            <v>0</v>
          </cell>
          <cell r="CA5">
            <v>7</v>
          </cell>
          <cell r="CB5">
            <v>17</v>
          </cell>
          <cell r="CC5">
            <v>0</v>
          </cell>
          <cell r="CD5">
            <v>64</v>
          </cell>
          <cell r="CE5">
            <v>43</v>
          </cell>
          <cell r="CF5">
            <v>0</v>
          </cell>
          <cell r="CG5">
            <v>0</v>
          </cell>
          <cell r="CH5">
            <v>11</v>
          </cell>
          <cell r="CI5">
            <v>0</v>
          </cell>
          <cell r="CJ5">
            <v>0</v>
          </cell>
          <cell r="CK5">
            <v>0</v>
          </cell>
          <cell r="CL5">
            <v>87</v>
          </cell>
          <cell r="CM5">
            <v>0</v>
          </cell>
          <cell r="CN5">
            <v>5</v>
          </cell>
          <cell r="CO5">
            <v>78</v>
          </cell>
          <cell r="CP5">
            <v>5</v>
          </cell>
          <cell r="CQ5">
            <v>5</v>
          </cell>
          <cell r="CR5">
            <v>0</v>
          </cell>
          <cell r="CS5">
            <v>44</v>
          </cell>
          <cell r="CT5">
            <v>91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>
            <v>0</v>
          </cell>
          <cell r="DM5">
            <v>0</v>
          </cell>
          <cell r="DN5">
            <v>10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16</v>
          </cell>
          <cell r="DZ5">
            <v>0</v>
          </cell>
          <cell r="EA5">
            <v>0</v>
          </cell>
          <cell r="EB5">
            <v>175</v>
          </cell>
          <cell r="EC5">
            <v>19</v>
          </cell>
          <cell r="ED5">
            <v>0</v>
          </cell>
          <cell r="EE5">
            <v>8</v>
          </cell>
          <cell r="EF5">
            <v>0</v>
          </cell>
          <cell r="EG5">
            <v>0</v>
          </cell>
          <cell r="EH5">
            <v>0</v>
          </cell>
          <cell r="EI5">
            <v>174</v>
          </cell>
          <cell r="EJ5">
            <v>310</v>
          </cell>
          <cell r="EK5">
            <v>0</v>
          </cell>
          <cell r="EL5">
            <v>0</v>
          </cell>
          <cell r="EM5">
            <v>0</v>
          </cell>
          <cell r="EN5">
            <v>73</v>
          </cell>
          <cell r="EO5">
            <v>290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22</v>
          </cell>
          <cell r="EZ5">
            <v>15</v>
          </cell>
          <cell r="FA5">
            <v>5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</row>
        <row r="6">
          <cell r="B6">
            <v>30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67</v>
          </cell>
          <cell r="R6">
            <v>0</v>
          </cell>
          <cell r="S6">
            <v>0</v>
          </cell>
          <cell r="T6">
            <v>121</v>
          </cell>
          <cell r="U6">
            <v>35</v>
          </cell>
          <cell r="V6">
            <v>0</v>
          </cell>
          <cell r="W6">
            <v>0</v>
          </cell>
          <cell r="X6">
            <v>200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150</v>
          </cell>
          <cell r="AE6">
            <v>0</v>
          </cell>
          <cell r="AF6">
            <v>0</v>
          </cell>
          <cell r="AG6">
            <v>40</v>
          </cell>
          <cell r="AH6">
            <v>123</v>
          </cell>
          <cell r="AI6">
            <v>40</v>
          </cell>
          <cell r="AJ6">
            <v>260</v>
          </cell>
          <cell r="AK6">
            <v>5</v>
          </cell>
          <cell r="AL6">
            <v>0</v>
          </cell>
          <cell r="AM6">
            <v>0</v>
          </cell>
          <cell r="AN6">
            <v>0</v>
          </cell>
          <cell r="AO6">
            <v>400</v>
          </cell>
          <cell r="AP6">
            <v>380</v>
          </cell>
          <cell r="AQ6">
            <v>349</v>
          </cell>
          <cell r="AR6">
            <v>81</v>
          </cell>
          <cell r="AS6">
            <v>0</v>
          </cell>
          <cell r="AT6">
            <v>68</v>
          </cell>
          <cell r="AU6">
            <v>22</v>
          </cell>
          <cell r="AV6">
            <v>191</v>
          </cell>
          <cell r="AW6">
            <v>58</v>
          </cell>
          <cell r="AX6">
            <v>5</v>
          </cell>
          <cell r="AY6">
            <v>2</v>
          </cell>
          <cell r="AZ6">
            <v>68</v>
          </cell>
          <cell r="BA6">
            <v>0</v>
          </cell>
          <cell r="BB6">
            <v>5</v>
          </cell>
          <cell r="BC6">
            <v>0</v>
          </cell>
          <cell r="BD6">
            <v>11</v>
          </cell>
          <cell r="BE6">
            <v>5</v>
          </cell>
          <cell r="BF6">
            <v>23</v>
          </cell>
          <cell r="BG6">
            <v>275</v>
          </cell>
          <cell r="BH6">
            <v>0</v>
          </cell>
          <cell r="BI6">
            <v>8</v>
          </cell>
          <cell r="BJ6">
            <v>15</v>
          </cell>
          <cell r="BK6">
            <v>19</v>
          </cell>
          <cell r="BL6">
            <v>22</v>
          </cell>
          <cell r="BM6">
            <v>74</v>
          </cell>
          <cell r="BN6">
            <v>33</v>
          </cell>
          <cell r="BO6">
            <v>21</v>
          </cell>
          <cell r="BP6">
            <v>11</v>
          </cell>
          <cell r="BQ6">
            <v>0</v>
          </cell>
          <cell r="BR6">
            <v>23</v>
          </cell>
          <cell r="BS6">
            <v>15</v>
          </cell>
          <cell r="BT6">
            <v>26</v>
          </cell>
          <cell r="BU6">
            <v>33</v>
          </cell>
          <cell r="BV6">
            <v>33</v>
          </cell>
          <cell r="BW6">
            <v>107</v>
          </cell>
          <cell r="BX6">
            <v>12</v>
          </cell>
          <cell r="BY6">
            <v>31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48</v>
          </cell>
          <cell r="CE6">
            <v>43</v>
          </cell>
          <cell r="CF6">
            <v>0</v>
          </cell>
          <cell r="CG6">
            <v>0</v>
          </cell>
          <cell r="CH6">
            <v>6</v>
          </cell>
          <cell r="CI6">
            <v>0</v>
          </cell>
          <cell r="CJ6">
            <v>0</v>
          </cell>
          <cell r="CK6">
            <v>0</v>
          </cell>
          <cell r="CL6">
            <v>40</v>
          </cell>
          <cell r="CM6">
            <v>0</v>
          </cell>
          <cell r="CN6">
            <v>5</v>
          </cell>
          <cell r="CO6">
            <v>78</v>
          </cell>
          <cell r="CP6">
            <v>5</v>
          </cell>
          <cell r="CQ6">
            <v>5</v>
          </cell>
          <cell r="CR6">
            <v>0</v>
          </cell>
          <cell r="CS6">
            <v>30</v>
          </cell>
          <cell r="CT6">
            <v>91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178</v>
          </cell>
          <cell r="EC6">
            <v>18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174</v>
          </cell>
          <cell r="EJ6">
            <v>290</v>
          </cell>
          <cell r="EK6">
            <v>0</v>
          </cell>
          <cell r="EL6">
            <v>0</v>
          </cell>
          <cell r="EM6">
            <v>0</v>
          </cell>
          <cell r="EN6">
            <v>72</v>
          </cell>
          <cell r="EO6">
            <v>290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22</v>
          </cell>
          <cell r="EZ6">
            <v>15</v>
          </cell>
          <cell r="FA6">
            <v>5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</row>
        <row r="7">
          <cell r="B7">
            <v>30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67</v>
          </cell>
          <cell r="R7">
            <v>0</v>
          </cell>
          <cell r="S7">
            <v>0</v>
          </cell>
          <cell r="T7">
            <v>121</v>
          </cell>
          <cell r="U7">
            <v>35</v>
          </cell>
          <cell r="V7">
            <v>0</v>
          </cell>
          <cell r="W7">
            <v>0</v>
          </cell>
          <cell r="X7">
            <v>200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150</v>
          </cell>
          <cell r="AE7">
            <v>0</v>
          </cell>
          <cell r="AF7">
            <v>0</v>
          </cell>
          <cell r="AG7">
            <v>40</v>
          </cell>
          <cell r="AH7">
            <v>150</v>
          </cell>
          <cell r="AI7">
            <v>50</v>
          </cell>
          <cell r="AJ7">
            <v>260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340</v>
          </cell>
          <cell r="AP7">
            <v>350</v>
          </cell>
          <cell r="AQ7">
            <v>315</v>
          </cell>
          <cell r="AR7">
            <v>110</v>
          </cell>
          <cell r="AS7">
            <v>0</v>
          </cell>
          <cell r="AT7">
            <v>68</v>
          </cell>
          <cell r="AU7">
            <v>22</v>
          </cell>
          <cell r="AV7">
            <v>192</v>
          </cell>
          <cell r="AW7">
            <v>53</v>
          </cell>
          <cell r="AX7">
            <v>5</v>
          </cell>
          <cell r="AY7">
            <v>2</v>
          </cell>
          <cell r="AZ7">
            <v>68</v>
          </cell>
          <cell r="BA7">
            <v>0</v>
          </cell>
          <cell r="BB7">
            <v>5</v>
          </cell>
          <cell r="BC7">
            <v>0</v>
          </cell>
          <cell r="BD7">
            <v>11</v>
          </cell>
          <cell r="BE7">
            <v>5</v>
          </cell>
          <cell r="BF7">
            <v>23</v>
          </cell>
          <cell r="BG7">
            <v>260</v>
          </cell>
          <cell r="BH7">
            <v>0</v>
          </cell>
          <cell r="BI7">
            <v>8</v>
          </cell>
          <cell r="BJ7">
            <v>15</v>
          </cell>
          <cell r="BK7">
            <v>19</v>
          </cell>
          <cell r="BL7">
            <v>22</v>
          </cell>
          <cell r="BM7">
            <v>70</v>
          </cell>
          <cell r="BN7">
            <v>42</v>
          </cell>
          <cell r="BO7">
            <v>21</v>
          </cell>
          <cell r="BP7">
            <v>11</v>
          </cell>
          <cell r="BQ7">
            <v>0</v>
          </cell>
          <cell r="BR7">
            <v>23</v>
          </cell>
          <cell r="BS7">
            <v>15</v>
          </cell>
          <cell r="BT7">
            <v>26</v>
          </cell>
          <cell r="BU7">
            <v>33</v>
          </cell>
          <cell r="BV7">
            <v>33</v>
          </cell>
          <cell r="BW7">
            <v>107</v>
          </cell>
          <cell r="BX7">
            <v>11</v>
          </cell>
          <cell r="BY7">
            <v>33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48</v>
          </cell>
          <cell r="CE7">
            <v>43</v>
          </cell>
          <cell r="CF7">
            <v>0</v>
          </cell>
          <cell r="CG7">
            <v>0</v>
          </cell>
          <cell r="CH7">
            <v>6</v>
          </cell>
          <cell r="CI7">
            <v>0</v>
          </cell>
          <cell r="CJ7">
            <v>0</v>
          </cell>
          <cell r="CK7">
            <v>0</v>
          </cell>
          <cell r="CL7">
            <v>40</v>
          </cell>
          <cell r="CM7">
            <v>0</v>
          </cell>
          <cell r="CN7">
            <v>5</v>
          </cell>
          <cell r="CO7">
            <v>78</v>
          </cell>
          <cell r="CP7">
            <v>5</v>
          </cell>
          <cell r="CQ7">
            <v>5</v>
          </cell>
          <cell r="CR7">
            <v>0</v>
          </cell>
          <cell r="CS7">
            <v>6</v>
          </cell>
          <cell r="CT7">
            <v>91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177</v>
          </cell>
          <cell r="EC7">
            <v>18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174</v>
          </cell>
          <cell r="EJ7">
            <v>230</v>
          </cell>
          <cell r="EK7">
            <v>0</v>
          </cell>
          <cell r="EL7">
            <v>0</v>
          </cell>
          <cell r="EM7">
            <v>0</v>
          </cell>
          <cell r="EN7">
            <v>74</v>
          </cell>
          <cell r="EO7">
            <v>290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17</v>
          </cell>
          <cell r="EZ7">
            <v>15</v>
          </cell>
          <cell r="FA7">
            <v>5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</row>
        <row r="8">
          <cell r="B8">
            <v>30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67</v>
          </cell>
          <cell r="R8">
            <v>0</v>
          </cell>
          <cell r="S8">
            <v>0</v>
          </cell>
          <cell r="T8">
            <v>121</v>
          </cell>
          <cell r="U8">
            <v>35</v>
          </cell>
          <cell r="V8">
            <v>0</v>
          </cell>
          <cell r="W8">
            <v>0</v>
          </cell>
          <cell r="X8">
            <v>200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150</v>
          </cell>
          <cell r="AE8">
            <v>0</v>
          </cell>
          <cell r="AF8">
            <v>0</v>
          </cell>
          <cell r="AG8">
            <v>40</v>
          </cell>
          <cell r="AH8">
            <v>165</v>
          </cell>
          <cell r="AI8">
            <v>40</v>
          </cell>
          <cell r="AJ8">
            <v>230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300</v>
          </cell>
          <cell r="AP8">
            <v>330</v>
          </cell>
          <cell r="AQ8">
            <v>296</v>
          </cell>
          <cell r="AR8">
            <v>101</v>
          </cell>
          <cell r="AS8">
            <v>0</v>
          </cell>
          <cell r="AT8">
            <v>68</v>
          </cell>
          <cell r="AU8">
            <v>22</v>
          </cell>
          <cell r="AV8">
            <v>184</v>
          </cell>
          <cell r="AW8">
            <v>47</v>
          </cell>
          <cell r="AX8">
            <v>5</v>
          </cell>
          <cell r="AY8">
            <v>2</v>
          </cell>
          <cell r="AZ8">
            <v>68</v>
          </cell>
          <cell r="BA8">
            <v>0</v>
          </cell>
          <cell r="BB8">
            <v>5</v>
          </cell>
          <cell r="BC8">
            <v>0</v>
          </cell>
          <cell r="BD8">
            <v>11</v>
          </cell>
          <cell r="BE8">
            <v>5</v>
          </cell>
          <cell r="BF8">
            <v>22</v>
          </cell>
          <cell r="BG8">
            <v>265</v>
          </cell>
          <cell r="BH8">
            <v>0</v>
          </cell>
          <cell r="BI8">
            <v>8</v>
          </cell>
          <cell r="BJ8">
            <v>15</v>
          </cell>
          <cell r="BK8">
            <v>19</v>
          </cell>
          <cell r="BL8">
            <v>22</v>
          </cell>
          <cell r="BM8">
            <v>70</v>
          </cell>
          <cell r="BN8">
            <v>29</v>
          </cell>
          <cell r="BO8">
            <v>21</v>
          </cell>
          <cell r="BP8">
            <v>11</v>
          </cell>
          <cell r="BQ8">
            <v>0</v>
          </cell>
          <cell r="BR8">
            <v>23</v>
          </cell>
          <cell r="BS8">
            <v>15</v>
          </cell>
          <cell r="BT8">
            <v>26</v>
          </cell>
          <cell r="BU8">
            <v>33</v>
          </cell>
          <cell r="BV8">
            <v>33</v>
          </cell>
          <cell r="BW8">
            <v>107</v>
          </cell>
          <cell r="BX8">
            <v>11</v>
          </cell>
          <cell r="BY8">
            <v>31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40</v>
          </cell>
          <cell r="CE8">
            <v>43</v>
          </cell>
          <cell r="CF8">
            <v>0</v>
          </cell>
          <cell r="CG8">
            <v>0</v>
          </cell>
          <cell r="CH8">
            <v>6</v>
          </cell>
          <cell r="CI8">
            <v>0</v>
          </cell>
          <cell r="CJ8">
            <v>0</v>
          </cell>
          <cell r="CK8">
            <v>0</v>
          </cell>
          <cell r="CL8">
            <v>40</v>
          </cell>
          <cell r="CM8">
            <v>0</v>
          </cell>
          <cell r="CN8">
            <v>5</v>
          </cell>
          <cell r="CO8">
            <v>78</v>
          </cell>
          <cell r="CP8">
            <v>5</v>
          </cell>
          <cell r="CQ8">
            <v>5</v>
          </cell>
          <cell r="CR8">
            <v>0</v>
          </cell>
          <cell r="CS8">
            <v>6</v>
          </cell>
          <cell r="CT8">
            <v>91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178</v>
          </cell>
          <cell r="EC8">
            <v>18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174</v>
          </cell>
          <cell r="EJ8">
            <v>230</v>
          </cell>
          <cell r="EK8">
            <v>0</v>
          </cell>
          <cell r="EL8">
            <v>0</v>
          </cell>
          <cell r="EM8">
            <v>0</v>
          </cell>
          <cell r="EN8">
            <v>73</v>
          </cell>
          <cell r="EO8">
            <v>290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16</v>
          </cell>
          <cell r="EZ8">
            <v>15</v>
          </cell>
          <cell r="FA8">
            <v>5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</row>
        <row r="9"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67</v>
          </cell>
          <cell r="R9">
            <v>0</v>
          </cell>
          <cell r="S9">
            <v>0</v>
          </cell>
          <cell r="T9">
            <v>121</v>
          </cell>
          <cell r="U9">
            <v>35</v>
          </cell>
          <cell r="V9">
            <v>0</v>
          </cell>
          <cell r="W9">
            <v>0</v>
          </cell>
          <cell r="X9">
            <v>200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150</v>
          </cell>
          <cell r="AE9">
            <v>0</v>
          </cell>
          <cell r="AF9">
            <v>0</v>
          </cell>
          <cell r="AG9">
            <v>40</v>
          </cell>
          <cell r="AH9">
            <v>165</v>
          </cell>
          <cell r="AI9">
            <v>40</v>
          </cell>
          <cell r="AJ9">
            <v>230</v>
          </cell>
          <cell r="AK9">
            <v>5</v>
          </cell>
          <cell r="AL9">
            <v>0</v>
          </cell>
          <cell r="AM9">
            <v>0</v>
          </cell>
          <cell r="AN9">
            <v>0</v>
          </cell>
          <cell r="AO9">
            <v>300</v>
          </cell>
          <cell r="AP9">
            <v>330</v>
          </cell>
          <cell r="AQ9">
            <v>296</v>
          </cell>
          <cell r="AR9">
            <v>103</v>
          </cell>
          <cell r="AS9">
            <v>0</v>
          </cell>
          <cell r="AT9">
            <v>68</v>
          </cell>
          <cell r="AU9">
            <v>22</v>
          </cell>
          <cell r="AV9">
            <v>180</v>
          </cell>
          <cell r="AW9">
            <v>40</v>
          </cell>
          <cell r="AX9">
            <v>5</v>
          </cell>
          <cell r="AY9">
            <v>2</v>
          </cell>
          <cell r="AZ9">
            <v>68</v>
          </cell>
          <cell r="BA9">
            <v>0</v>
          </cell>
          <cell r="BB9">
            <v>5</v>
          </cell>
          <cell r="BC9">
            <v>0</v>
          </cell>
          <cell r="BD9">
            <v>11</v>
          </cell>
          <cell r="BE9">
            <v>5</v>
          </cell>
          <cell r="BF9">
            <v>22</v>
          </cell>
          <cell r="BG9">
            <v>265</v>
          </cell>
          <cell r="BH9">
            <v>0</v>
          </cell>
          <cell r="BI9">
            <v>8</v>
          </cell>
          <cell r="BJ9">
            <v>15</v>
          </cell>
          <cell r="BK9">
            <v>19</v>
          </cell>
          <cell r="BL9">
            <v>22</v>
          </cell>
          <cell r="BM9">
            <v>70</v>
          </cell>
          <cell r="BN9">
            <v>42</v>
          </cell>
          <cell r="BO9">
            <v>21</v>
          </cell>
          <cell r="BP9">
            <v>11</v>
          </cell>
          <cell r="BQ9">
            <v>0</v>
          </cell>
          <cell r="BR9">
            <v>23</v>
          </cell>
          <cell r="BS9">
            <v>15</v>
          </cell>
          <cell r="BT9">
            <v>26</v>
          </cell>
          <cell r="BU9">
            <v>33</v>
          </cell>
          <cell r="BV9">
            <v>33</v>
          </cell>
          <cell r="BW9">
            <v>107</v>
          </cell>
          <cell r="BX9">
            <v>10</v>
          </cell>
          <cell r="BY9">
            <v>31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40</v>
          </cell>
          <cell r="CE9">
            <v>43</v>
          </cell>
          <cell r="CF9">
            <v>0</v>
          </cell>
          <cell r="CG9">
            <v>0</v>
          </cell>
          <cell r="CH9">
            <v>6</v>
          </cell>
          <cell r="CI9">
            <v>0</v>
          </cell>
          <cell r="CJ9">
            <v>0</v>
          </cell>
          <cell r="CK9">
            <v>0</v>
          </cell>
          <cell r="CL9">
            <v>40</v>
          </cell>
          <cell r="CM9">
            <v>0</v>
          </cell>
          <cell r="CN9">
            <v>5</v>
          </cell>
          <cell r="CO9">
            <v>78</v>
          </cell>
          <cell r="CP9">
            <v>5</v>
          </cell>
          <cell r="CQ9">
            <v>5</v>
          </cell>
          <cell r="CR9">
            <v>0</v>
          </cell>
          <cell r="CS9">
            <v>6</v>
          </cell>
          <cell r="CT9">
            <v>72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162</v>
          </cell>
          <cell r="EC9">
            <v>17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174</v>
          </cell>
          <cell r="EJ9">
            <v>200</v>
          </cell>
          <cell r="EK9">
            <v>0</v>
          </cell>
          <cell r="EL9">
            <v>0</v>
          </cell>
          <cell r="EM9">
            <v>0</v>
          </cell>
          <cell r="EN9">
            <v>73</v>
          </cell>
          <cell r="EO9">
            <v>290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15</v>
          </cell>
          <cell r="EZ9">
            <v>15</v>
          </cell>
          <cell r="FA9">
            <v>5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69</v>
          </cell>
          <cell r="R10">
            <v>0</v>
          </cell>
          <cell r="S10">
            <v>0</v>
          </cell>
          <cell r="T10">
            <v>121</v>
          </cell>
          <cell r="U10">
            <v>35</v>
          </cell>
          <cell r="V10">
            <v>0</v>
          </cell>
          <cell r="W10">
            <v>0</v>
          </cell>
          <cell r="X10">
            <v>200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150</v>
          </cell>
          <cell r="AE10">
            <v>0</v>
          </cell>
          <cell r="AF10">
            <v>0</v>
          </cell>
          <cell r="AG10">
            <v>40</v>
          </cell>
          <cell r="AH10">
            <v>165</v>
          </cell>
          <cell r="AI10">
            <v>50</v>
          </cell>
          <cell r="AJ10">
            <v>255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300</v>
          </cell>
          <cell r="AP10">
            <v>350</v>
          </cell>
          <cell r="AQ10">
            <v>296</v>
          </cell>
          <cell r="AR10">
            <v>103</v>
          </cell>
          <cell r="AS10">
            <v>0</v>
          </cell>
          <cell r="AT10">
            <v>47</v>
          </cell>
          <cell r="AU10">
            <v>22</v>
          </cell>
          <cell r="AV10">
            <v>200</v>
          </cell>
          <cell r="AW10">
            <v>54</v>
          </cell>
          <cell r="AX10">
            <v>5</v>
          </cell>
          <cell r="AY10">
            <v>2</v>
          </cell>
          <cell r="AZ10">
            <v>68</v>
          </cell>
          <cell r="BA10">
            <v>0</v>
          </cell>
          <cell r="BB10">
            <v>5</v>
          </cell>
          <cell r="BC10">
            <v>0</v>
          </cell>
          <cell r="BD10">
            <v>11</v>
          </cell>
          <cell r="BE10">
            <v>5</v>
          </cell>
          <cell r="BF10">
            <v>22</v>
          </cell>
          <cell r="BG10">
            <v>260</v>
          </cell>
          <cell r="BH10">
            <v>0</v>
          </cell>
          <cell r="BI10">
            <v>8</v>
          </cell>
          <cell r="BJ10">
            <v>15</v>
          </cell>
          <cell r="BK10">
            <v>19</v>
          </cell>
          <cell r="BL10">
            <v>22</v>
          </cell>
          <cell r="BM10">
            <v>72</v>
          </cell>
          <cell r="BN10">
            <v>42</v>
          </cell>
          <cell r="BO10">
            <v>21</v>
          </cell>
          <cell r="BP10">
            <v>11</v>
          </cell>
          <cell r="BQ10">
            <v>0</v>
          </cell>
          <cell r="BR10">
            <v>0</v>
          </cell>
          <cell r="BS10">
            <v>15</v>
          </cell>
          <cell r="BT10">
            <v>26</v>
          </cell>
          <cell r="BU10">
            <v>33</v>
          </cell>
          <cell r="BV10">
            <v>33</v>
          </cell>
          <cell r="BW10">
            <v>73</v>
          </cell>
          <cell r="BX10">
            <v>10</v>
          </cell>
          <cell r="BY10">
            <v>31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40</v>
          </cell>
          <cell r="CE10">
            <v>43</v>
          </cell>
          <cell r="CF10">
            <v>0</v>
          </cell>
          <cell r="CG10">
            <v>0</v>
          </cell>
          <cell r="CH10">
            <v>6</v>
          </cell>
          <cell r="CI10">
            <v>0</v>
          </cell>
          <cell r="CJ10">
            <v>0</v>
          </cell>
          <cell r="CK10">
            <v>0</v>
          </cell>
          <cell r="CL10">
            <v>40</v>
          </cell>
          <cell r="CM10">
            <v>0</v>
          </cell>
          <cell r="CN10">
            <v>5</v>
          </cell>
          <cell r="CO10">
            <v>78</v>
          </cell>
          <cell r="CP10">
            <v>5</v>
          </cell>
          <cell r="CQ10">
            <v>5</v>
          </cell>
          <cell r="CR10">
            <v>0</v>
          </cell>
          <cell r="CS10">
            <v>6</v>
          </cell>
          <cell r="CT10">
            <v>52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174</v>
          </cell>
          <cell r="EC10">
            <v>18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174</v>
          </cell>
          <cell r="EJ10">
            <v>200</v>
          </cell>
          <cell r="EK10">
            <v>0</v>
          </cell>
          <cell r="EL10">
            <v>0</v>
          </cell>
          <cell r="EM10">
            <v>0</v>
          </cell>
          <cell r="EN10">
            <v>73</v>
          </cell>
          <cell r="EO10">
            <v>290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15</v>
          </cell>
          <cell r="EZ10">
            <v>15</v>
          </cell>
          <cell r="FA10">
            <v>5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</row>
        <row r="11">
          <cell r="B11">
            <v>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69</v>
          </cell>
          <cell r="R11">
            <v>0</v>
          </cell>
          <cell r="S11">
            <v>0</v>
          </cell>
          <cell r="T11">
            <v>121</v>
          </cell>
          <cell r="U11">
            <v>35</v>
          </cell>
          <cell r="V11">
            <v>0</v>
          </cell>
          <cell r="W11">
            <v>0</v>
          </cell>
          <cell r="X11">
            <v>200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150</v>
          </cell>
          <cell r="AE11">
            <v>0</v>
          </cell>
          <cell r="AF11">
            <v>0</v>
          </cell>
          <cell r="AG11">
            <v>40</v>
          </cell>
          <cell r="AH11">
            <v>195</v>
          </cell>
          <cell r="AI11">
            <v>100</v>
          </cell>
          <cell r="AJ11">
            <v>255</v>
          </cell>
          <cell r="AK11">
            <v>5</v>
          </cell>
          <cell r="AL11">
            <v>0</v>
          </cell>
          <cell r="AM11">
            <v>0</v>
          </cell>
          <cell r="AN11">
            <v>0</v>
          </cell>
          <cell r="AO11">
            <v>320</v>
          </cell>
          <cell r="AP11">
            <v>350</v>
          </cell>
          <cell r="AQ11">
            <v>316</v>
          </cell>
          <cell r="AR11">
            <v>104</v>
          </cell>
          <cell r="AS11">
            <v>0</v>
          </cell>
          <cell r="AT11">
            <v>47</v>
          </cell>
          <cell r="AU11">
            <v>22</v>
          </cell>
          <cell r="AV11">
            <v>190</v>
          </cell>
          <cell r="AW11">
            <v>41</v>
          </cell>
          <cell r="AX11">
            <v>5</v>
          </cell>
          <cell r="AY11">
            <v>2</v>
          </cell>
          <cell r="AZ11">
            <v>68</v>
          </cell>
          <cell r="BA11">
            <v>0</v>
          </cell>
          <cell r="BB11">
            <v>7</v>
          </cell>
          <cell r="BC11">
            <v>0</v>
          </cell>
          <cell r="BD11">
            <v>11</v>
          </cell>
          <cell r="BE11">
            <v>5</v>
          </cell>
          <cell r="BF11">
            <v>22</v>
          </cell>
          <cell r="BG11">
            <v>255</v>
          </cell>
          <cell r="BH11">
            <v>0</v>
          </cell>
          <cell r="BI11">
            <v>8</v>
          </cell>
          <cell r="BJ11">
            <v>15</v>
          </cell>
          <cell r="BK11">
            <v>19</v>
          </cell>
          <cell r="BL11">
            <v>22</v>
          </cell>
          <cell r="BM11">
            <v>70</v>
          </cell>
          <cell r="BN11">
            <v>42</v>
          </cell>
          <cell r="BO11">
            <v>21</v>
          </cell>
          <cell r="BP11">
            <v>11</v>
          </cell>
          <cell r="BQ11">
            <v>0</v>
          </cell>
          <cell r="BR11">
            <v>23</v>
          </cell>
          <cell r="BS11">
            <v>15</v>
          </cell>
          <cell r="BT11">
            <v>26</v>
          </cell>
          <cell r="BU11">
            <v>33</v>
          </cell>
          <cell r="BV11">
            <v>33</v>
          </cell>
          <cell r="BW11">
            <v>73</v>
          </cell>
          <cell r="BX11">
            <v>10</v>
          </cell>
          <cell r="BY11">
            <v>31</v>
          </cell>
          <cell r="BZ11">
            <v>0</v>
          </cell>
          <cell r="CA11">
            <v>2</v>
          </cell>
          <cell r="CB11">
            <v>16</v>
          </cell>
          <cell r="CC11">
            <v>8</v>
          </cell>
          <cell r="CD11">
            <v>48</v>
          </cell>
          <cell r="CE11">
            <v>43</v>
          </cell>
          <cell r="CF11">
            <v>0</v>
          </cell>
          <cell r="CG11">
            <v>0</v>
          </cell>
          <cell r="CH11">
            <v>6</v>
          </cell>
          <cell r="CI11">
            <v>0</v>
          </cell>
          <cell r="CJ11">
            <v>0</v>
          </cell>
          <cell r="CK11">
            <v>7</v>
          </cell>
          <cell r="CL11">
            <v>40</v>
          </cell>
          <cell r="CM11">
            <v>0</v>
          </cell>
          <cell r="CN11">
            <v>5</v>
          </cell>
          <cell r="CO11">
            <v>78</v>
          </cell>
          <cell r="CP11">
            <v>5</v>
          </cell>
          <cell r="CQ11">
            <v>5</v>
          </cell>
          <cell r="CR11">
            <v>0</v>
          </cell>
          <cell r="CS11">
            <v>6</v>
          </cell>
          <cell r="CT11">
            <v>52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178</v>
          </cell>
          <cell r="EC11">
            <v>19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174</v>
          </cell>
          <cell r="EJ11">
            <v>200</v>
          </cell>
          <cell r="EK11">
            <v>0</v>
          </cell>
          <cell r="EL11">
            <v>0</v>
          </cell>
          <cell r="EM11">
            <v>0</v>
          </cell>
          <cell r="EN11">
            <v>73</v>
          </cell>
          <cell r="EO11">
            <v>290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15</v>
          </cell>
          <cell r="EZ11">
            <v>15</v>
          </cell>
          <cell r="FA11">
            <v>5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</row>
        <row r="12">
          <cell r="B12">
            <v>44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121</v>
          </cell>
          <cell r="U12">
            <v>35</v>
          </cell>
          <cell r="V12">
            <v>0</v>
          </cell>
          <cell r="W12">
            <v>0</v>
          </cell>
          <cell r="X12">
            <v>200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150</v>
          </cell>
          <cell r="AE12">
            <v>0</v>
          </cell>
          <cell r="AF12">
            <v>0</v>
          </cell>
          <cell r="AG12">
            <v>40</v>
          </cell>
          <cell r="AH12">
            <v>192</v>
          </cell>
          <cell r="AI12">
            <v>100</v>
          </cell>
          <cell r="AJ12">
            <v>255</v>
          </cell>
          <cell r="AK12">
            <v>5</v>
          </cell>
          <cell r="AL12">
            <v>0</v>
          </cell>
          <cell r="AM12">
            <v>0</v>
          </cell>
          <cell r="AN12">
            <v>0</v>
          </cell>
          <cell r="AO12">
            <v>320</v>
          </cell>
          <cell r="AP12">
            <v>370</v>
          </cell>
          <cell r="AQ12">
            <v>336</v>
          </cell>
          <cell r="AR12">
            <v>106</v>
          </cell>
          <cell r="AS12">
            <v>0</v>
          </cell>
          <cell r="AT12">
            <v>50</v>
          </cell>
          <cell r="AU12">
            <v>22</v>
          </cell>
          <cell r="AV12">
            <v>183</v>
          </cell>
          <cell r="AW12">
            <v>61</v>
          </cell>
          <cell r="AX12">
            <v>5</v>
          </cell>
          <cell r="AY12">
            <v>2</v>
          </cell>
          <cell r="AZ12">
            <v>68</v>
          </cell>
          <cell r="BA12">
            <v>0</v>
          </cell>
          <cell r="BB12">
            <v>7</v>
          </cell>
          <cell r="BC12">
            <v>0</v>
          </cell>
          <cell r="BD12">
            <v>11</v>
          </cell>
          <cell r="BE12">
            <v>5</v>
          </cell>
          <cell r="BF12">
            <v>22</v>
          </cell>
          <cell r="BG12">
            <v>265</v>
          </cell>
          <cell r="BH12">
            <v>17</v>
          </cell>
          <cell r="BI12">
            <v>8</v>
          </cell>
          <cell r="BJ12">
            <v>15</v>
          </cell>
          <cell r="BK12">
            <v>19</v>
          </cell>
          <cell r="BL12">
            <v>22</v>
          </cell>
          <cell r="BM12">
            <v>72</v>
          </cell>
          <cell r="BN12">
            <v>42</v>
          </cell>
          <cell r="BO12">
            <v>21</v>
          </cell>
          <cell r="BP12">
            <v>11</v>
          </cell>
          <cell r="BQ12">
            <v>0</v>
          </cell>
          <cell r="BR12">
            <v>23</v>
          </cell>
          <cell r="BS12">
            <v>25</v>
          </cell>
          <cell r="BT12">
            <v>26</v>
          </cell>
          <cell r="BU12">
            <v>0</v>
          </cell>
          <cell r="BV12">
            <v>31</v>
          </cell>
          <cell r="BW12">
            <v>74</v>
          </cell>
          <cell r="BX12">
            <v>20</v>
          </cell>
          <cell r="BY12">
            <v>50</v>
          </cell>
          <cell r="BZ12">
            <v>0</v>
          </cell>
          <cell r="CA12">
            <v>7</v>
          </cell>
          <cell r="CB12">
            <v>16</v>
          </cell>
          <cell r="CC12">
            <v>16</v>
          </cell>
          <cell r="CD12">
            <v>64</v>
          </cell>
          <cell r="CE12">
            <v>43</v>
          </cell>
          <cell r="CF12">
            <v>0</v>
          </cell>
          <cell r="CG12">
            <v>0</v>
          </cell>
          <cell r="CH12">
            <v>5</v>
          </cell>
          <cell r="CI12">
            <v>0</v>
          </cell>
          <cell r="CJ12">
            <v>0</v>
          </cell>
          <cell r="CK12">
            <v>7</v>
          </cell>
          <cell r="CL12">
            <v>40</v>
          </cell>
          <cell r="CM12">
            <v>0</v>
          </cell>
          <cell r="CN12">
            <v>5</v>
          </cell>
          <cell r="CO12">
            <v>78</v>
          </cell>
          <cell r="CP12">
            <v>5</v>
          </cell>
          <cell r="CQ12">
            <v>5</v>
          </cell>
          <cell r="CR12">
            <v>2</v>
          </cell>
          <cell r="CS12">
            <v>6</v>
          </cell>
          <cell r="CT12">
            <v>91</v>
          </cell>
          <cell r="CU12">
            <v>0</v>
          </cell>
          <cell r="CV12">
            <v>0</v>
          </cell>
          <cell r="CW12">
            <v>0</v>
          </cell>
          <cell r="CX12">
            <v>18</v>
          </cell>
          <cell r="CY12">
            <v>0</v>
          </cell>
          <cell r="CZ12">
            <v>0.2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5</v>
          </cell>
          <cell r="DO12">
            <v>16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174</v>
          </cell>
          <cell r="EC12">
            <v>18</v>
          </cell>
          <cell r="ED12">
            <v>0</v>
          </cell>
          <cell r="EE12">
            <v>8</v>
          </cell>
          <cell r="EF12">
            <v>0</v>
          </cell>
          <cell r="EG12">
            <v>0</v>
          </cell>
          <cell r="EH12">
            <v>0</v>
          </cell>
          <cell r="EI12">
            <v>174</v>
          </cell>
          <cell r="EJ12">
            <v>200</v>
          </cell>
          <cell r="EK12">
            <v>0</v>
          </cell>
          <cell r="EL12">
            <v>0</v>
          </cell>
          <cell r="EM12">
            <v>0</v>
          </cell>
          <cell r="EN12">
            <v>73</v>
          </cell>
          <cell r="EO12">
            <v>290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17</v>
          </cell>
          <cell r="EZ12">
            <v>15</v>
          </cell>
          <cell r="FA12">
            <v>5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44</v>
          </cell>
          <cell r="C13">
            <v>0</v>
          </cell>
          <cell r="D13">
            <v>0</v>
          </cell>
          <cell r="E13">
            <v>0</v>
          </cell>
          <cell r="F13">
            <v>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92</v>
          </cell>
          <cell r="R13">
            <v>0</v>
          </cell>
          <cell r="S13">
            <v>0</v>
          </cell>
          <cell r="T13">
            <v>121</v>
          </cell>
          <cell r="U13">
            <v>35</v>
          </cell>
          <cell r="V13">
            <v>0</v>
          </cell>
          <cell r="W13">
            <v>0</v>
          </cell>
          <cell r="X13">
            <v>200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150</v>
          </cell>
          <cell r="AE13">
            <v>0</v>
          </cell>
          <cell r="AF13">
            <v>0</v>
          </cell>
          <cell r="AG13">
            <v>43</v>
          </cell>
          <cell r="AH13">
            <v>190</v>
          </cell>
          <cell r="AI13">
            <v>100</v>
          </cell>
          <cell r="AJ13">
            <v>255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360</v>
          </cell>
          <cell r="AP13">
            <v>370</v>
          </cell>
          <cell r="AQ13">
            <v>376</v>
          </cell>
          <cell r="AR13">
            <v>95</v>
          </cell>
          <cell r="AS13">
            <v>0</v>
          </cell>
          <cell r="AT13">
            <v>50</v>
          </cell>
          <cell r="AU13">
            <v>22</v>
          </cell>
          <cell r="AV13">
            <v>204</v>
          </cell>
          <cell r="AW13">
            <v>59</v>
          </cell>
          <cell r="AX13">
            <v>5</v>
          </cell>
          <cell r="AY13">
            <v>2</v>
          </cell>
          <cell r="AZ13">
            <v>90</v>
          </cell>
          <cell r="BA13">
            <v>0</v>
          </cell>
          <cell r="BB13">
            <v>7</v>
          </cell>
          <cell r="BC13">
            <v>0</v>
          </cell>
          <cell r="BD13">
            <v>11</v>
          </cell>
          <cell r="BE13">
            <v>5</v>
          </cell>
          <cell r="BF13">
            <v>23</v>
          </cell>
          <cell r="BG13">
            <v>295</v>
          </cell>
          <cell r="BH13">
            <v>17</v>
          </cell>
          <cell r="BI13">
            <v>8</v>
          </cell>
          <cell r="BJ13">
            <v>12</v>
          </cell>
          <cell r="BK13">
            <v>19</v>
          </cell>
          <cell r="BL13">
            <v>22</v>
          </cell>
          <cell r="BM13">
            <v>66</v>
          </cell>
          <cell r="BN13">
            <v>42</v>
          </cell>
          <cell r="BO13">
            <v>22</v>
          </cell>
          <cell r="BP13">
            <v>11</v>
          </cell>
          <cell r="BQ13">
            <v>8</v>
          </cell>
          <cell r="BR13">
            <v>23</v>
          </cell>
          <cell r="BS13">
            <v>25</v>
          </cell>
          <cell r="BT13">
            <v>26</v>
          </cell>
          <cell r="BU13">
            <v>33</v>
          </cell>
          <cell r="BV13">
            <v>28</v>
          </cell>
          <cell r="BW13">
            <v>74</v>
          </cell>
          <cell r="BX13">
            <v>20</v>
          </cell>
          <cell r="BY13">
            <v>51</v>
          </cell>
          <cell r="BZ13">
            <v>0</v>
          </cell>
          <cell r="CA13">
            <v>7</v>
          </cell>
          <cell r="CB13">
            <v>16</v>
          </cell>
          <cell r="CC13">
            <v>16</v>
          </cell>
          <cell r="CD13">
            <v>48</v>
          </cell>
          <cell r="CE13">
            <v>43</v>
          </cell>
          <cell r="CF13">
            <v>0</v>
          </cell>
          <cell r="CG13">
            <v>0</v>
          </cell>
          <cell r="CH13">
            <v>5</v>
          </cell>
          <cell r="CI13">
            <v>0</v>
          </cell>
          <cell r="CJ13">
            <v>0</v>
          </cell>
          <cell r="CK13">
            <v>7</v>
          </cell>
          <cell r="CL13">
            <v>82</v>
          </cell>
          <cell r="CM13">
            <v>0</v>
          </cell>
          <cell r="CN13">
            <v>5</v>
          </cell>
          <cell r="CO13">
            <v>78</v>
          </cell>
          <cell r="CP13">
            <v>5</v>
          </cell>
          <cell r="CQ13">
            <v>5</v>
          </cell>
          <cell r="CR13">
            <v>7</v>
          </cell>
          <cell r="CS13">
            <v>7</v>
          </cell>
          <cell r="CT13">
            <v>91</v>
          </cell>
          <cell r="CU13">
            <v>0</v>
          </cell>
          <cell r="CV13">
            <v>0</v>
          </cell>
          <cell r="CW13">
            <v>0</v>
          </cell>
          <cell r="CX13">
            <v>18</v>
          </cell>
          <cell r="CY13">
            <v>0</v>
          </cell>
          <cell r="CZ13">
            <v>0.4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10</v>
          </cell>
          <cell r="DO13">
            <v>32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16</v>
          </cell>
          <cell r="DZ13">
            <v>0</v>
          </cell>
          <cell r="EA13">
            <v>0</v>
          </cell>
          <cell r="EB13">
            <v>178</v>
          </cell>
          <cell r="EC13">
            <v>13</v>
          </cell>
          <cell r="ED13">
            <v>0</v>
          </cell>
          <cell r="EE13">
            <v>24</v>
          </cell>
          <cell r="EF13">
            <v>0</v>
          </cell>
          <cell r="EG13">
            <v>0</v>
          </cell>
          <cell r="EH13">
            <v>0</v>
          </cell>
          <cell r="EI13">
            <v>174</v>
          </cell>
          <cell r="EJ13">
            <v>280</v>
          </cell>
          <cell r="EK13">
            <v>0</v>
          </cell>
          <cell r="EL13">
            <v>0</v>
          </cell>
          <cell r="EM13">
            <v>0</v>
          </cell>
          <cell r="EN13">
            <v>72</v>
          </cell>
          <cell r="EO13">
            <v>299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17</v>
          </cell>
          <cell r="EZ13">
            <v>15</v>
          </cell>
          <cell r="FA13">
            <v>8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</row>
        <row r="14">
          <cell r="B14">
            <v>44</v>
          </cell>
          <cell r="C14">
            <v>0</v>
          </cell>
          <cell r="D14">
            <v>0</v>
          </cell>
          <cell r="E14">
            <v>0</v>
          </cell>
          <cell r="F14">
            <v>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65</v>
          </cell>
          <cell r="R14">
            <v>0</v>
          </cell>
          <cell r="S14">
            <v>0</v>
          </cell>
          <cell r="T14">
            <v>192</v>
          </cell>
          <cell r="U14">
            <v>35</v>
          </cell>
          <cell r="V14">
            <v>0</v>
          </cell>
          <cell r="W14">
            <v>0</v>
          </cell>
          <cell r="X14">
            <v>200</v>
          </cell>
          <cell r="Y14">
            <v>0</v>
          </cell>
          <cell r="Z14">
            <v>40</v>
          </cell>
          <cell r="AA14">
            <v>0</v>
          </cell>
          <cell r="AB14">
            <v>0</v>
          </cell>
          <cell r="AC14">
            <v>0</v>
          </cell>
          <cell r="AD14">
            <v>150</v>
          </cell>
          <cell r="AE14">
            <v>0</v>
          </cell>
          <cell r="AF14">
            <v>0</v>
          </cell>
          <cell r="AG14">
            <v>43</v>
          </cell>
          <cell r="AH14">
            <v>184</v>
          </cell>
          <cell r="AI14">
            <v>50</v>
          </cell>
          <cell r="AJ14">
            <v>255</v>
          </cell>
          <cell r="AK14">
            <v>5</v>
          </cell>
          <cell r="AL14">
            <v>0</v>
          </cell>
          <cell r="AM14">
            <v>0</v>
          </cell>
          <cell r="AN14">
            <v>0</v>
          </cell>
          <cell r="AO14">
            <v>360</v>
          </cell>
          <cell r="AP14">
            <v>435</v>
          </cell>
          <cell r="AQ14">
            <v>331</v>
          </cell>
          <cell r="AR14">
            <v>87</v>
          </cell>
          <cell r="AS14">
            <v>0</v>
          </cell>
          <cell r="AT14">
            <v>68</v>
          </cell>
          <cell r="AU14">
            <v>22</v>
          </cell>
          <cell r="AV14">
            <v>158</v>
          </cell>
          <cell r="AW14">
            <v>60</v>
          </cell>
          <cell r="AX14">
            <v>5</v>
          </cell>
          <cell r="AY14">
            <v>2</v>
          </cell>
          <cell r="AZ14">
            <v>80</v>
          </cell>
          <cell r="BA14">
            <v>0</v>
          </cell>
          <cell r="BB14">
            <v>7</v>
          </cell>
          <cell r="BC14">
            <v>0</v>
          </cell>
          <cell r="BD14">
            <v>11</v>
          </cell>
          <cell r="BE14">
            <v>5</v>
          </cell>
          <cell r="BF14">
            <v>23</v>
          </cell>
          <cell r="BG14">
            <v>265</v>
          </cell>
          <cell r="BH14">
            <v>17</v>
          </cell>
          <cell r="BI14">
            <v>11</v>
          </cell>
          <cell r="BJ14">
            <v>15</v>
          </cell>
          <cell r="BK14">
            <v>19</v>
          </cell>
          <cell r="BL14">
            <v>19</v>
          </cell>
          <cell r="BM14">
            <v>64</v>
          </cell>
          <cell r="BN14">
            <v>36</v>
          </cell>
          <cell r="BO14">
            <v>22</v>
          </cell>
          <cell r="BP14">
            <v>11</v>
          </cell>
          <cell r="BQ14">
            <v>8</v>
          </cell>
          <cell r="BR14">
            <v>23</v>
          </cell>
          <cell r="BS14">
            <v>25</v>
          </cell>
          <cell r="BT14">
            <v>16</v>
          </cell>
          <cell r="BU14">
            <v>33</v>
          </cell>
          <cell r="BV14">
            <v>27</v>
          </cell>
          <cell r="BW14">
            <v>74</v>
          </cell>
          <cell r="BX14">
            <v>21</v>
          </cell>
          <cell r="BY14">
            <v>51</v>
          </cell>
          <cell r="BZ14">
            <v>0</v>
          </cell>
          <cell r="CA14">
            <v>7</v>
          </cell>
          <cell r="CB14">
            <v>16</v>
          </cell>
          <cell r="CC14">
            <v>16</v>
          </cell>
          <cell r="CD14">
            <v>48</v>
          </cell>
          <cell r="CE14">
            <v>43</v>
          </cell>
          <cell r="CF14">
            <v>0</v>
          </cell>
          <cell r="CG14">
            <v>0</v>
          </cell>
          <cell r="CH14">
            <v>5</v>
          </cell>
          <cell r="CI14">
            <v>10</v>
          </cell>
          <cell r="CJ14">
            <v>0</v>
          </cell>
          <cell r="CK14">
            <v>7</v>
          </cell>
          <cell r="CL14">
            <v>50</v>
          </cell>
          <cell r="CM14">
            <v>0</v>
          </cell>
          <cell r="CN14">
            <v>53</v>
          </cell>
          <cell r="CO14">
            <v>78</v>
          </cell>
          <cell r="CP14">
            <v>5</v>
          </cell>
          <cell r="CQ14">
            <v>8</v>
          </cell>
          <cell r="CR14">
            <v>7</v>
          </cell>
          <cell r="CS14">
            <v>20</v>
          </cell>
          <cell r="CT14">
            <v>85</v>
          </cell>
          <cell r="CU14">
            <v>0</v>
          </cell>
          <cell r="CV14">
            <v>0</v>
          </cell>
          <cell r="CW14">
            <v>0</v>
          </cell>
          <cell r="CX14">
            <v>18</v>
          </cell>
          <cell r="CY14">
            <v>0</v>
          </cell>
          <cell r="CZ14">
            <v>0.8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33</v>
          </cell>
          <cell r="DO14">
            <v>32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16</v>
          </cell>
          <cell r="DZ14">
            <v>0</v>
          </cell>
          <cell r="EA14">
            <v>0</v>
          </cell>
          <cell r="EB14">
            <v>178</v>
          </cell>
          <cell r="EC14">
            <v>12</v>
          </cell>
          <cell r="ED14">
            <v>0</v>
          </cell>
          <cell r="EE14">
            <v>33</v>
          </cell>
          <cell r="EF14">
            <v>0</v>
          </cell>
          <cell r="EG14">
            <v>0</v>
          </cell>
          <cell r="EH14">
            <v>0</v>
          </cell>
          <cell r="EI14">
            <v>174</v>
          </cell>
          <cell r="EJ14">
            <v>250</v>
          </cell>
          <cell r="EK14">
            <v>0</v>
          </cell>
          <cell r="EL14">
            <v>0</v>
          </cell>
          <cell r="EM14">
            <v>0</v>
          </cell>
          <cell r="EN14">
            <v>73</v>
          </cell>
          <cell r="EO14">
            <v>290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15</v>
          </cell>
          <cell r="FA14">
            <v>8</v>
          </cell>
          <cell r="FB14">
            <v>12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</row>
        <row r="15">
          <cell r="B15">
            <v>32</v>
          </cell>
          <cell r="C15">
            <v>0</v>
          </cell>
          <cell r="D15">
            <v>0</v>
          </cell>
          <cell r="E15">
            <v>0</v>
          </cell>
          <cell r="F15">
            <v>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42</v>
          </cell>
          <cell r="R15">
            <v>0</v>
          </cell>
          <cell r="S15">
            <v>0</v>
          </cell>
          <cell r="T15">
            <v>192</v>
          </cell>
          <cell r="U15">
            <v>35</v>
          </cell>
          <cell r="V15">
            <v>0</v>
          </cell>
          <cell r="W15">
            <v>0</v>
          </cell>
          <cell r="X15">
            <v>200</v>
          </cell>
          <cell r="Y15">
            <v>0</v>
          </cell>
          <cell r="Z15">
            <v>70</v>
          </cell>
          <cell r="AA15">
            <v>0</v>
          </cell>
          <cell r="AB15">
            <v>0</v>
          </cell>
          <cell r="AC15">
            <v>0</v>
          </cell>
          <cell r="AD15">
            <v>150</v>
          </cell>
          <cell r="AE15">
            <v>0</v>
          </cell>
          <cell r="AF15">
            <v>0</v>
          </cell>
          <cell r="AG15">
            <v>43</v>
          </cell>
          <cell r="AH15">
            <v>184</v>
          </cell>
          <cell r="AI15">
            <v>20</v>
          </cell>
          <cell r="AJ15">
            <v>255</v>
          </cell>
          <cell r="AK15">
            <v>20</v>
          </cell>
          <cell r="AL15">
            <v>0</v>
          </cell>
          <cell r="AM15">
            <v>0</v>
          </cell>
          <cell r="AN15">
            <v>0</v>
          </cell>
          <cell r="AO15">
            <v>420</v>
          </cell>
          <cell r="AP15">
            <v>435</v>
          </cell>
          <cell r="AQ15">
            <v>301</v>
          </cell>
          <cell r="AR15">
            <v>80</v>
          </cell>
          <cell r="AS15">
            <v>0</v>
          </cell>
          <cell r="AT15">
            <v>68</v>
          </cell>
          <cell r="AU15">
            <v>22</v>
          </cell>
          <cell r="AV15">
            <v>158</v>
          </cell>
          <cell r="AW15">
            <v>56</v>
          </cell>
          <cell r="AX15">
            <v>5</v>
          </cell>
          <cell r="AY15">
            <v>2</v>
          </cell>
          <cell r="AZ15">
            <v>80</v>
          </cell>
          <cell r="BA15">
            <v>0</v>
          </cell>
          <cell r="BB15">
            <v>7</v>
          </cell>
          <cell r="BC15">
            <v>0</v>
          </cell>
          <cell r="BD15">
            <v>11</v>
          </cell>
          <cell r="BE15">
            <v>5</v>
          </cell>
          <cell r="BF15">
            <v>23</v>
          </cell>
          <cell r="BG15">
            <v>260</v>
          </cell>
          <cell r="BH15">
            <v>17</v>
          </cell>
          <cell r="BI15">
            <v>24</v>
          </cell>
          <cell r="BJ15">
            <v>15</v>
          </cell>
          <cell r="BK15">
            <v>19</v>
          </cell>
          <cell r="BL15">
            <v>19</v>
          </cell>
          <cell r="BM15">
            <v>62</v>
          </cell>
          <cell r="BN15">
            <v>36</v>
          </cell>
          <cell r="BO15">
            <v>22</v>
          </cell>
          <cell r="BP15">
            <v>11</v>
          </cell>
          <cell r="BQ15">
            <v>8</v>
          </cell>
          <cell r="BR15">
            <v>23</v>
          </cell>
          <cell r="BS15">
            <v>25</v>
          </cell>
          <cell r="BT15">
            <v>16</v>
          </cell>
          <cell r="BU15">
            <v>33</v>
          </cell>
          <cell r="BV15">
            <v>27</v>
          </cell>
          <cell r="BW15">
            <v>74</v>
          </cell>
          <cell r="BX15">
            <v>20</v>
          </cell>
          <cell r="BY15">
            <v>50</v>
          </cell>
          <cell r="BZ15">
            <v>0</v>
          </cell>
          <cell r="CA15">
            <v>7</v>
          </cell>
          <cell r="CB15">
            <v>8</v>
          </cell>
          <cell r="CC15">
            <v>16</v>
          </cell>
          <cell r="CD15">
            <v>48</v>
          </cell>
          <cell r="CE15">
            <v>43</v>
          </cell>
          <cell r="CF15">
            <v>0</v>
          </cell>
          <cell r="CG15">
            <v>0</v>
          </cell>
          <cell r="CH15">
            <v>5</v>
          </cell>
          <cell r="CI15">
            <v>10</v>
          </cell>
          <cell r="CJ15">
            <v>0</v>
          </cell>
          <cell r="CK15">
            <v>7</v>
          </cell>
          <cell r="CL15">
            <v>50</v>
          </cell>
          <cell r="CM15">
            <v>0</v>
          </cell>
          <cell r="CN15">
            <v>53</v>
          </cell>
          <cell r="CO15">
            <v>68</v>
          </cell>
          <cell r="CP15">
            <v>5</v>
          </cell>
          <cell r="CQ15">
            <v>22</v>
          </cell>
          <cell r="CR15">
            <v>7</v>
          </cell>
          <cell r="CS15">
            <v>23</v>
          </cell>
          <cell r="CT15">
            <v>85</v>
          </cell>
          <cell r="CU15">
            <v>0</v>
          </cell>
          <cell r="CV15">
            <v>0</v>
          </cell>
          <cell r="CW15">
            <v>0</v>
          </cell>
          <cell r="CX15">
            <v>18</v>
          </cell>
          <cell r="CY15">
            <v>0</v>
          </cell>
          <cell r="CZ15">
            <v>1.3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33</v>
          </cell>
          <cell r="DO15">
            <v>32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16</v>
          </cell>
          <cell r="DZ15">
            <v>0</v>
          </cell>
          <cell r="EA15">
            <v>0</v>
          </cell>
          <cell r="EB15">
            <v>176</v>
          </cell>
          <cell r="EC15">
            <v>11</v>
          </cell>
          <cell r="ED15">
            <v>0</v>
          </cell>
          <cell r="EE15">
            <v>40</v>
          </cell>
          <cell r="EF15">
            <v>0</v>
          </cell>
          <cell r="EG15">
            <v>0</v>
          </cell>
          <cell r="EH15">
            <v>0</v>
          </cell>
          <cell r="EI15">
            <v>174</v>
          </cell>
          <cell r="EJ15">
            <v>238</v>
          </cell>
          <cell r="EK15">
            <v>0</v>
          </cell>
          <cell r="EL15">
            <v>0</v>
          </cell>
          <cell r="EM15">
            <v>0</v>
          </cell>
          <cell r="EN15">
            <v>72</v>
          </cell>
          <cell r="EO15">
            <v>291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15</v>
          </cell>
          <cell r="FA15">
            <v>5</v>
          </cell>
          <cell r="FB15">
            <v>12</v>
          </cell>
          <cell r="FC15">
            <v>8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</row>
        <row r="16">
          <cell r="B16">
            <v>30</v>
          </cell>
          <cell r="C16">
            <v>0</v>
          </cell>
          <cell r="D16">
            <v>0</v>
          </cell>
          <cell r="E16">
            <v>0</v>
          </cell>
          <cell r="F16">
            <v>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95</v>
          </cell>
          <cell r="R16">
            <v>0</v>
          </cell>
          <cell r="S16">
            <v>0</v>
          </cell>
          <cell r="T16">
            <v>177</v>
          </cell>
          <cell r="U16">
            <v>35</v>
          </cell>
          <cell r="V16">
            <v>0</v>
          </cell>
          <cell r="W16">
            <v>0</v>
          </cell>
          <cell r="X16">
            <v>200</v>
          </cell>
          <cell r="Y16">
            <v>0</v>
          </cell>
          <cell r="Z16">
            <v>70</v>
          </cell>
          <cell r="AA16">
            <v>0</v>
          </cell>
          <cell r="AB16">
            <v>0</v>
          </cell>
          <cell r="AC16">
            <v>0</v>
          </cell>
          <cell r="AD16">
            <v>150</v>
          </cell>
          <cell r="AE16">
            <v>0</v>
          </cell>
          <cell r="AF16">
            <v>0</v>
          </cell>
          <cell r="AG16">
            <v>43</v>
          </cell>
          <cell r="AH16">
            <v>180</v>
          </cell>
          <cell r="AI16">
            <v>30</v>
          </cell>
          <cell r="AJ16">
            <v>235</v>
          </cell>
          <cell r="AK16">
            <v>20</v>
          </cell>
          <cell r="AL16">
            <v>0</v>
          </cell>
          <cell r="AM16">
            <v>0</v>
          </cell>
          <cell r="AN16">
            <v>0</v>
          </cell>
          <cell r="AO16">
            <v>400</v>
          </cell>
          <cell r="AP16">
            <v>430</v>
          </cell>
          <cell r="AQ16">
            <v>322</v>
          </cell>
          <cell r="AR16">
            <v>79</v>
          </cell>
          <cell r="AS16">
            <v>0</v>
          </cell>
          <cell r="AT16">
            <v>69</v>
          </cell>
          <cell r="AU16">
            <v>22</v>
          </cell>
          <cell r="AV16">
            <v>182</v>
          </cell>
          <cell r="AW16">
            <v>49</v>
          </cell>
          <cell r="AX16">
            <v>5</v>
          </cell>
          <cell r="AY16">
            <v>2</v>
          </cell>
          <cell r="AZ16">
            <v>100</v>
          </cell>
          <cell r="BA16">
            <v>0</v>
          </cell>
          <cell r="BB16">
            <v>21</v>
          </cell>
          <cell r="BC16">
            <v>0</v>
          </cell>
          <cell r="BD16">
            <v>11</v>
          </cell>
          <cell r="BE16">
            <v>5</v>
          </cell>
          <cell r="BF16">
            <v>23</v>
          </cell>
          <cell r="BG16">
            <v>275</v>
          </cell>
          <cell r="BH16">
            <v>17</v>
          </cell>
          <cell r="BI16">
            <v>24</v>
          </cell>
          <cell r="BJ16">
            <v>15</v>
          </cell>
          <cell r="BK16">
            <v>19</v>
          </cell>
          <cell r="BL16">
            <v>19</v>
          </cell>
          <cell r="BM16">
            <v>62</v>
          </cell>
          <cell r="BN16">
            <v>25</v>
          </cell>
          <cell r="BO16">
            <v>0</v>
          </cell>
          <cell r="BP16">
            <v>11</v>
          </cell>
          <cell r="BQ16">
            <v>8</v>
          </cell>
          <cell r="BR16">
            <v>23</v>
          </cell>
          <cell r="BS16">
            <v>25</v>
          </cell>
          <cell r="BT16">
            <v>16</v>
          </cell>
          <cell r="BU16">
            <v>33</v>
          </cell>
          <cell r="BV16">
            <v>27</v>
          </cell>
          <cell r="BW16">
            <v>74</v>
          </cell>
          <cell r="BX16">
            <v>20</v>
          </cell>
          <cell r="BY16">
            <v>50</v>
          </cell>
          <cell r="BZ16">
            <v>0</v>
          </cell>
          <cell r="CA16">
            <v>7</v>
          </cell>
          <cell r="CB16">
            <v>8</v>
          </cell>
          <cell r="CC16">
            <v>16</v>
          </cell>
          <cell r="CD16">
            <v>48</v>
          </cell>
          <cell r="CE16">
            <v>43</v>
          </cell>
          <cell r="CF16">
            <v>0</v>
          </cell>
          <cell r="CG16">
            <v>0</v>
          </cell>
          <cell r="CH16">
            <v>5</v>
          </cell>
          <cell r="CI16">
            <v>10</v>
          </cell>
          <cell r="CJ16">
            <v>0</v>
          </cell>
          <cell r="CK16">
            <v>7</v>
          </cell>
          <cell r="CL16">
            <v>60</v>
          </cell>
          <cell r="CM16">
            <v>0</v>
          </cell>
          <cell r="CN16">
            <v>53</v>
          </cell>
          <cell r="CO16">
            <v>68</v>
          </cell>
          <cell r="CP16">
            <v>5</v>
          </cell>
          <cell r="CQ16">
            <v>22</v>
          </cell>
          <cell r="CR16">
            <v>7</v>
          </cell>
          <cell r="CS16">
            <v>23</v>
          </cell>
          <cell r="CT16">
            <v>85</v>
          </cell>
          <cell r="CU16">
            <v>0</v>
          </cell>
          <cell r="CV16">
            <v>0</v>
          </cell>
          <cell r="CW16">
            <v>0</v>
          </cell>
          <cell r="CX16">
            <v>18</v>
          </cell>
          <cell r="CY16">
            <v>0</v>
          </cell>
          <cell r="CZ16">
            <v>1.4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33</v>
          </cell>
          <cell r="DO16">
            <v>32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16</v>
          </cell>
          <cell r="DZ16">
            <v>0</v>
          </cell>
          <cell r="EA16">
            <v>0</v>
          </cell>
          <cell r="EB16">
            <v>173</v>
          </cell>
          <cell r="EC16">
            <v>11</v>
          </cell>
          <cell r="ED16">
            <v>0</v>
          </cell>
          <cell r="EE16">
            <v>40</v>
          </cell>
          <cell r="EF16">
            <v>0</v>
          </cell>
          <cell r="EG16">
            <v>0</v>
          </cell>
          <cell r="EH16">
            <v>0</v>
          </cell>
          <cell r="EI16">
            <v>174</v>
          </cell>
          <cell r="EJ16">
            <v>235</v>
          </cell>
          <cell r="EK16">
            <v>0</v>
          </cell>
          <cell r="EL16">
            <v>0</v>
          </cell>
          <cell r="EM16">
            <v>0</v>
          </cell>
          <cell r="EN16">
            <v>73</v>
          </cell>
          <cell r="EO16">
            <v>290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15</v>
          </cell>
          <cell r="FA16">
            <v>5</v>
          </cell>
          <cell r="FB16">
            <v>12</v>
          </cell>
          <cell r="FC16">
            <v>8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</row>
        <row r="17">
          <cell r="B17">
            <v>30</v>
          </cell>
          <cell r="C17">
            <v>0</v>
          </cell>
          <cell r="D17">
            <v>0</v>
          </cell>
          <cell r="E17">
            <v>0</v>
          </cell>
          <cell r="F17">
            <v>26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17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100</v>
          </cell>
          <cell r="R17">
            <v>0</v>
          </cell>
          <cell r="S17">
            <v>0</v>
          </cell>
          <cell r="T17">
            <v>187</v>
          </cell>
          <cell r="U17">
            <v>35</v>
          </cell>
          <cell r="V17">
            <v>0</v>
          </cell>
          <cell r="W17">
            <v>0</v>
          </cell>
          <cell r="X17">
            <v>200</v>
          </cell>
          <cell r="Y17">
            <v>0</v>
          </cell>
          <cell r="Z17">
            <v>70</v>
          </cell>
          <cell r="AA17">
            <v>0</v>
          </cell>
          <cell r="AB17">
            <v>0</v>
          </cell>
          <cell r="AC17">
            <v>0</v>
          </cell>
          <cell r="AD17">
            <v>150</v>
          </cell>
          <cell r="AE17">
            <v>0</v>
          </cell>
          <cell r="AF17">
            <v>0</v>
          </cell>
          <cell r="AG17">
            <v>43</v>
          </cell>
          <cell r="AH17">
            <v>182</v>
          </cell>
          <cell r="AI17">
            <v>0</v>
          </cell>
          <cell r="AJ17">
            <v>235</v>
          </cell>
          <cell r="AK17">
            <v>20</v>
          </cell>
          <cell r="AL17">
            <v>0</v>
          </cell>
          <cell r="AM17">
            <v>0</v>
          </cell>
          <cell r="AN17">
            <v>0</v>
          </cell>
          <cell r="AO17">
            <v>380</v>
          </cell>
          <cell r="AP17">
            <v>430</v>
          </cell>
          <cell r="AQ17">
            <v>323</v>
          </cell>
          <cell r="AR17">
            <v>76</v>
          </cell>
          <cell r="AS17">
            <v>0</v>
          </cell>
          <cell r="AT17">
            <v>69</v>
          </cell>
          <cell r="AU17">
            <v>22</v>
          </cell>
          <cell r="AV17">
            <v>179</v>
          </cell>
          <cell r="AW17">
            <v>50</v>
          </cell>
          <cell r="AX17">
            <v>20</v>
          </cell>
          <cell r="AY17">
            <v>20</v>
          </cell>
          <cell r="AZ17">
            <v>80</v>
          </cell>
          <cell r="BA17">
            <v>0</v>
          </cell>
          <cell r="BB17">
            <v>22</v>
          </cell>
          <cell r="BC17">
            <v>0</v>
          </cell>
          <cell r="BD17">
            <v>11</v>
          </cell>
          <cell r="BE17">
            <v>5</v>
          </cell>
          <cell r="BF17">
            <v>23</v>
          </cell>
          <cell r="BG17">
            <v>230</v>
          </cell>
          <cell r="BH17">
            <v>17</v>
          </cell>
          <cell r="BI17">
            <v>31</v>
          </cell>
          <cell r="BJ17">
            <v>15</v>
          </cell>
          <cell r="BK17">
            <v>19</v>
          </cell>
          <cell r="BL17">
            <v>19</v>
          </cell>
          <cell r="BM17">
            <v>68</v>
          </cell>
          <cell r="BN17">
            <v>25</v>
          </cell>
          <cell r="BO17">
            <v>0</v>
          </cell>
          <cell r="BP17">
            <v>11</v>
          </cell>
          <cell r="BQ17">
            <v>8</v>
          </cell>
          <cell r="BR17">
            <v>23</v>
          </cell>
          <cell r="BS17">
            <v>25</v>
          </cell>
          <cell r="BT17">
            <v>8</v>
          </cell>
          <cell r="BU17">
            <v>33</v>
          </cell>
          <cell r="BV17">
            <v>27</v>
          </cell>
          <cell r="BW17">
            <v>74</v>
          </cell>
          <cell r="BX17">
            <v>20</v>
          </cell>
          <cell r="BY17">
            <v>50</v>
          </cell>
          <cell r="BZ17">
            <v>0</v>
          </cell>
          <cell r="CA17">
            <v>7</v>
          </cell>
          <cell r="CB17">
            <v>8</v>
          </cell>
          <cell r="CC17">
            <v>16</v>
          </cell>
          <cell r="CD17">
            <v>48</v>
          </cell>
          <cell r="CE17">
            <v>43</v>
          </cell>
          <cell r="CF17">
            <v>0</v>
          </cell>
          <cell r="CG17">
            <v>0</v>
          </cell>
          <cell r="CH17">
            <v>5</v>
          </cell>
          <cell r="CI17">
            <v>10</v>
          </cell>
          <cell r="CJ17">
            <v>0</v>
          </cell>
          <cell r="CK17">
            <v>7</v>
          </cell>
          <cell r="CL17">
            <v>82</v>
          </cell>
          <cell r="CM17">
            <v>0</v>
          </cell>
          <cell r="CN17">
            <v>30</v>
          </cell>
          <cell r="CO17">
            <v>78</v>
          </cell>
          <cell r="CP17">
            <v>5</v>
          </cell>
          <cell r="CQ17">
            <v>22</v>
          </cell>
          <cell r="CR17">
            <v>7</v>
          </cell>
          <cell r="CS17">
            <v>23</v>
          </cell>
          <cell r="CT17">
            <v>85</v>
          </cell>
          <cell r="CU17">
            <v>0</v>
          </cell>
          <cell r="CV17">
            <v>0</v>
          </cell>
          <cell r="CW17">
            <v>0</v>
          </cell>
          <cell r="CX17">
            <v>18</v>
          </cell>
          <cell r="CY17">
            <v>0</v>
          </cell>
          <cell r="CZ17">
            <v>1.5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33</v>
          </cell>
          <cell r="DO17">
            <v>32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16</v>
          </cell>
          <cell r="DZ17">
            <v>0</v>
          </cell>
          <cell r="EA17">
            <v>0</v>
          </cell>
          <cell r="EB17">
            <v>160</v>
          </cell>
          <cell r="EC17">
            <v>13</v>
          </cell>
          <cell r="ED17">
            <v>0</v>
          </cell>
          <cell r="EE17">
            <v>40</v>
          </cell>
          <cell r="EF17">
            <v>0</v>
          </cell>
          <cell r="EG17">
            <v>0</v>
          </cell>
          <cell r="EH17">
            <v>0</v>
          </cell>
          <cell r="EI17">
            <v>174</v>
          </cell>
          <cell r="EJ17">
            <v>315</v>
          </cell>
          <cell r="EK17">
            <v>0</v>
          </cell>
          <cell r="EL17">
            <v>0</v>
          </cell>
          <cell r="EM17">
            <v>0</v>
          </cell>
          <cell r="EN17">
            <v>72</v>
          </cell>
          <cell r="EO17">
            <v>290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14</v>
          </cell>
          <cell r="EZ17">
            <v>15</v>
          </cell>
          <cell r="FA17">
            <v>5</v>
          </cell>
          <cell r="FB17">
            <v>12</v>
          </cell>
          <cell r="FC17">
            <v>8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</row>
        <row r="18">
          <cell r="B18">
            <v>30</v>
          </cell>
          <cell r="C18">
            <v>30</v>
          </cell>
          <cell r="D18">
            <v>0</v>
          </cell>
          <cell r="E18">
            <v>0</v>
          </cell>
          <cell r="F18">
            <v>26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40</v>
          </cell>
          <cell r="R18">
            <v>0</v>
          </cell>
          <cell r="S18">
            <v>0</v>
          </cell>
          <cell r="T18">
            <v>162</v>
          </cell>
          <cell r="U18">
            <v>35</v>
          </cell>
          <cell r="V18">
            <v>0</v>
          </cell>
          <cell r="W18">
            <v>0</v>
          </cell>
          <cell r="X18">
            <v>200</v>
          </cell>
          <cell r="Y18">
            <v>0</v>
          </cell>
          <cell r="Z18">
            <v>70</v>
          </cell>
          <cell r="AA18">
            <v>0</v>
          </cell>
          <cell r="AB18">
            <v>0</v>
          </cell>
          <cell r="AC18">
            <v>0</v>
          </cell>
          <cell r="AD18">
            <v>150</v>
          </cell>
          <cell r="AE18">
            <v>0</v>
          </cell>
          <cell r="AF18">
            <v>0</v>
          </cell>
          <cell r="AG18">
            <v>43</v>
          </cell>
          <cell r="AH18">
            <v>190</v>
          </cell>
          <cell r="AI18">
            <v>30</v>
          </cell>
          <cell r="AJ18">
            <v>200</v>
          </cell>
          <cell r="AK18">
            <v>10</v>
          </cell>
          <cell r="AL18">
            <v>0</v>
          </cell>
          <cell r="AM18">
            <v>0</v>
          </cell>
          <cell r="AN18">
            <v>0</v>
          </cell>
          <cell r="AO18">
            <v>330</v>
          </cell>
          <cell r="AP18">
            <v>350</v>
          </cell>
          <cell r="AQ18">
            <v>261</v>
          </cell>
          <cell r="AR18">
            <v>77</v>
          </cell>
          <cell r="AS18">
            <v>0</v>
          </cell>
          <cell r="AT18">
            <v>69</v>
          </cell>
          <cell r="AU18">
            <v>22</v>
          </cell>
          <cell r="AV18">
            <v>213</v>
          </cell>
          <cell r="AW18">
            <v>64</v>
          </cell>
          <cell r="AX18">
            <v>10</v>
          </cell>
          <cell r="AY18">
            <v>10</v>
          </cell>
          <cell r="AZ18">
            <v>70</v>
          </cell>
          <cell r="BA18">
            <v>0</v>
          </cell>
          <cell r="BB18">
            <v>20</v>
          </cell>
          <cell r="BC18">
            <v>0</v>
          </cell>
          <cell r="BD18">
            <v>11</v>
          </cell>
          <cell r="BE18">
            <v>5</v>
          </cell>
          <cell r="BF18">
            <v>24</v>
          </cell>
          <cell r="BG18">
            <v>160</v>
          </cell>
          <cell r="BH18">
            <v>17</v>
          </cell>
          <cell r="BI18">
            <v>33</v>
          </cell>
          <cell r="BJ18">
            <v>15</v>
          </cell>
          <cell r="BK18">
            <v>19</v>
          </cell>
          <cell r="BL18">
            <v>20</v>
          </cell>
          <cell r="BM18">
            <v>62</v>
          </cell>
          <cell r="BN18">
            <v>38</v>
          </cell>
          <cell r="BO18">
            <v>0</v>
          </cell>
          <cell r="BP18">
            <v>11</v>
          </cell>
          <cell r="BQ18">
            <v>8</v>
          </cell>
          <cell r="BR18">
            <v>23</v>
          </cell>
          <cell r="BS18">
            <v>25</v>
          </cell>
          <cell r="BT18">
            <v>6</v>
          </cell>
          <cell r="BU18">
            <v>33</v>
          </cell>
          <cell r="BV18">
            <v>23</v>
          </cell>
          <cell r="BW18">
            <v>74</v>
          </cell>
          <cell r="BX18">
            <v>20</v>
          </cell>
          <cell r="BY18">
            <v>30</v>
          </cell>
          <cell r="BZ18">
            <v>0</v>
          </cell>
          <cell r="CA18">
            <v>7</v>
          </cell>
          <cell r="CB18">
            <v>8</v>
          </cell>
          <cell r="CC18">
            <v>16</v>
          </cell>
          <cell r="CD18">
            <v>40</v>
          </cell>
          <cell r="CE18">
            <v>43</v>
          </cell>
          <cell r="CF18">
            <v>0</v>
          </cell>
          <cell r="CG18">
            <v>0</v>
          </cell>
          <cell r="CH18">
            <v>5</v>
          </cell>
          <cell r="CI18">
            <v>10</v>
          </cell>
          <cell r="CJ18">
            <v>0</v>
          </cell>
          <cell r="CK18">
            <v>7</v>
          </cell>
          <cell r="CL18">
            <v>60</v>
          </cell>
          <cell r="CM18">
            <v>0</v>
          </cell>
          <cell r="CN18">
            <v>10</v>
          </cell>
          <cell r="CO18">
            <v>78</v>
          </cell>
          <cell r="CP18">
            <v>5</v>
          </cell>
          <cell r="CQ18">
            <v>14</v>
          </cell>
          <cell r="CR18">
            <v>7</v>
          </cell>
          <cell r="CS18">
            <v>23</v>
          </cell>
          <cell r="CT18">
            <v>85</v>
          </cell>
          <cell r="CU18">
            <v>0</v>
          </cell>
          <cell r="CV18">
            <v>0</v>
          </cell>
          <cell r="CW18">
            <v>0</v>
          </cell>
          <cell r="CX18">
            <v>18</v>
          </cell>
          <cell r="CY18">
            <v>0</v>
          </cell>
          <cell r="CZ18">
            <v>1.2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33</v>
          </cell>
          <cell r="DO18">
            <v>32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16</v>
          </cell>
          <cell r="DZ18">
            <v>0</v>
          </cell>
          <cell r="EA18">
            <v>0</v>
          </cell>
          <cell r="EB18">
            <v>166</v>
          </cell>
          <cell r="EC18">
            <v>11</v>
          </cell>
          <cell r="ED18">
            <v>0</v>
          </cell>
          <cell r="EE18">
            <v>8</v>
          </cell>
          <cell r="EF18">
            <v>0</v>
          </cell>
          <cell r="EG18">
            <v>0</v>
          </cell>
          <cell r="EH18">
            <v>0</v>
          </cell>
          <cell r="EI18">
            <v>174</v>
          </cell>
          <cell r="EJ18">
            <v>240</v>
          </cell>
          <cell r="EK18">
            <v>0</v>
          </cell>
          <cell r="EL18">
            <v>0</v>
          </cell>
          <cell r="EM18">
            <v>0</v>
          </cell>
          <cell r="EN18">
            <v>72</v>
          </cell>
          <cell r="EO18">
            <v>290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18</v>
          </cell>
          <cell r="EZ18">
            <v>15</v>
          </cell>
          <cell r="FA18">
            <v>5</v>
          </cell>
          <cell r="FB18">
            <v>12</v>
          </cell>
          <cell r="FC18">
            <v>8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</row>
        <row r="19">
          <cell r="B19">
            <v>29</v>
          </cell>
          <cell r="C19">
            <v>0</v>
          </cell>
          <cell r="D19">
            <v>0</v>
          </cell>
          <cell r="E19">
            <v>0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45</v>
          </cell>
          <cell r="R19">
            <v>0</v>
          </cell>
          <cell r="S19">
            <v>0</v>
          </cell>
          <cell r="T19">
            <v>132</v>
          </cell>
          <cell r="U19">
            <v>35</v>
          </cell>
          <cell r="V19">
            <v>0</v>
          </cell>
          <cell r="W19">
            <v>0</v>
          </cell>
          <cell r="X19">
            <v>200</v>
          </cell>
          <cell r="Y19">
            <v>0</v>
          </cell>
          <cell r="Z19">
            <v>70</v>
          </cell>
          <cell r="AA19">
            <v>0</v>
          </cell>
          <cell r="AB19">
            <v>0</v>
          </cell>
          <cell r="AC19">
            <v>0</v>
          </cell>
          <cell r="AD19">
            <v>150</v>
          </cell>
          <cell r="AE19">
            <v>0</v>
          </cell>
          <cell r="AF19">
            <v>0</v>
          </cell>
          <cell r="AG19">
            <v>43</v>
          </cell>
          <cell r="AH19">
            <v>206</v>
          </cell>
          <cell r="AI19">
            <v>70</v>
          </cell>
          <cell r="AJ19">
            <v>200</v>
          </cell>
          <cell r="AK19">
            <v>10</v>
          </cell>
          <cell r="AL19">
            <v>0</v>
          </cell>
          <cell r="AM19">
            <v>0</v>
          </cell>
          <cell r="AN19">
            <v>0</v>
          </cell>
          <cell r="AO19">
            <v>330</v>
          </cell>
          <cell r="AP19">
            <v>350</v>
          </cell>
          <cell r="AQ19">
            <v>259</v>
          </cell>
          <cell r="AR19">
            <v>71</v>
          </cell>
          <cell r="AS19">
            <v>0</v>
          </cell>
          <cell r="AT19">
            <v>69</v>
          </cell>
          <cell r="AU19">
            <v>22</v>
          </cell>
          <cell r="AV19">
            <v>192</v>
          </cell>
          <cell r="AW19">
            <v>56</v>
          </cell>
          <cell r="AX19">
            <v>5</v>
          </cell>
          <cell r="AY19">
            <v>5</v>
          </cell>
          <cell r="AZ19">
            <v>70</v>
          </cell>
          <cell r="BA19">
            <v>0</v>
          </cell>
          <cell r="BB19">
            <v>20</v>
          </cell>
          <cell r="BC19">
            <v>0</v>
          </cell>
          <cell r="BD19">
            <v>11</v>
          </cell>
          <cell r="BE19">
            <v>5</v>
          </cell>
          <cell r="BF19">
            <v>24</v>
          </cell>
          <cell r="BG19">
            <v>245</v>
          </cell>
          <cell r="BH19">
            <v>17</v>
          </cell>
          <cell r="BI19">
            <v>32</v>
          </cell>
          <cell r="BJ19">
            <v>15</v>
          </cell>
          <cell r="BK19">
            <v>0</v>
          </cell>
          <cell r="BL19">
            <v>20</v>
          </cell>
          <cell r="BM19">
            <v>62</v>
          </cell>
          <cell r="BN19">
            <v>32</v>
          </cell>
          <cell r="BO19">
            <v>21</v>
          </cell>
          <cell r="BP19">
            <v>11</v>
          </cell>
          <cell r="BQ19">
            <v>8</v>
          </cell>
          <cell r="BR19">
            <v>23</v>
          </cell>
          <cell r="BS19">
            <v>25</v>
          </cell>
          <cell r="BT19">
            <v>8</v>
          </cell>
          <cell r="BU19">
            <v>33</v>
          </cell>
          <cell r="BV19">
            <v>23</v>
          </cell>
          <cell r="BW19">
            <v>74</v>
          </cell>
          <cell r="BX19">
            <v>20</v>
          </cell>
          <cell r="BY19">
            <v>11</v>
          </cell>
          <cell r="BZ19">
            <v>0</v>
          </cell>
          <cell r="CA19">
            <v>7</v>
          </cell>
          <cell r="CB19">
            <v>8</v>
          </cell>
          <cell r="CC19">
            <v>16</v>
          </cell>
          <cell r="CD19">
            <v>24</v>
          </cell>
          <cell r="CE19">
            <v>34</v>
          </cell>
          <cell r="CF19">
            <v>0</v>
          </cell>
          <cell r="CG19">
            <v>0</v>
          </cell>
          <cell r="CH19">
            <v>5</v>
          </cell>
          <cell r="CI19">
            <v>10</v>
          </cell>
          <cell r="CJ19">
            <v>0</v>
          </cell>
          <cell r="CK19">
            <v>7</v>
          </cell>
          <cell r="CL19">
            <v>40</v>
          </cell>
          <cell r="CM19">
            <v>0</v>
          </cell>
          <cell r="CN19">
            <v>10</v>
          </cell>
          <cell r="CO19">
            <v>68</v>
          </cell>
          <cell r="CP19">
            <v>5</v>
          </cell>
          <cell r="CQ19">
            <v>5</v>
          </cell>
          <cell r="CR19">
            <v>7</v>
          </cell>
          <cell r="CS19">
            <v>23</v>
          </cell>
          <cell r="CT19">
            <v>86</v>
          </cell>
          <cell r="CU19">
            <v>0</v>
          </cell>
          <cell r="CV19">
            <v>0</v>
          </cell>
          <cell r="CW19">
            <v>0</v>
          </cell>
          <cell r="CX19">
            <v>18</v>
          </cell>
          <cell r="CY19">
            <v>0</v>
          </cell>
          <cell r="CZ19">
            <v>0.8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10</v>
          </cell>
          <cell r="DO19">
            <v>16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16</v>
          </cell>
          <cell r="DZ19">
            <v>0</v>
          </cell>
          <cell r="EA19">
            <v>0</v>
          </cell>
          <cell r="EB19">
            <v>165</v>
          </cell>
          <cell r="EC19">
            <v>12</v>
          </cell>
          <cell r="ED19">
            <v>0</v>
          </cell>
          <cell r="EE19">
            <v>8</v>
          </cell>
          <cell r="EF19">
            <v>0</v>
          </cell>
          <cell r="EG19">
            <v>0</v>
          </cell>
          <cell r="EH19">
            <v>0</v>
          </cell>
          <cell r="EI19">
            <v>174</v>
          </cell>
          <cell r="EJ19">
            <v>240</v>
          </cell>
          <cell r="EK19">
            <v>0</v>
          </cell>
          <cell r="EL19">
            <v>0</v>
          </cell>
          <cell r="EM19">
            <v>0</v>
          </cell>
          <cell r="EN19">
            <v>72</v>
          </cell>
          <cell r="EO19">
            <v>291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21</v>
          </cell>
          <cell r="EZ19">
            <v>15</v>
          </cell>
          <cell r="FA19">
            <v>5</v>
          </cell>
          <cell r="FB19">
            <v>12</v>
          </cell>
          <cell r="FC19">
            <v>8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</row>
        <row r="20">
          <cell r="B20">
            <v>29</v>
          </cell>
          <cell r="C20">
            <v>0</v>
          </cell>
          <cell r="D20">
            <v>0</v>
          </cell>
          <cell r="E20">
            <v>0</v>
          </cell>
          <cell r="F20">
            <v>26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45</v>
          </cell>
          <cell r="R20">
            <v>0</v>
          </cell>
          <cell r="S20">
            <v>0</v>
          </cell>
          <cell r="T20">
            <v>132</v>
          </cell>
          <cell r="U20">
            <v>35</v>
          </cell>
          <cell r="V20">
            <v>0</v>
          </cell>
          <cell r="W20">
            <v>0</v>
          </cell>
          <cell r="X20">
            <v>200</v>
          </cell>
          <cell r="Y20">
            <v>0</v>
          </cell>
          <cell r="Z20">
            <v>139</v>
          </cell>
          <cell r="AA20">
            <v>0</v>
          </cell>
          <cell r="AB20">
            <v>0</v>
          </cell>
          <cell r="AC20">
            <v>0</v>
          </cell>
          <cell r="AD20">
            <v>150</v>
          </cell>
          <cell r="AE20">
            <v>0</v>
          </cell>
          <cell r="AF20">
            <v>0</v>
          </cell>
          <cell r="AG20">
            <v>43</v>
          </cell>
          <cell r="AH20">
            <v>194</v>
          </cell>
          <cell r="AI20">
            <v>80</v>
          </cell>
          <cell r="AJ20">
            <v>200</v>
          </cell>
          <cell r="AK20">
            <v>10</v>
          </cell>
          <cell r="AL20">
            <v>0</v>
          </cell>
          <cell r="AM20">
            <v>0</v>
          </cell>
          <cell r="AN20">
            <v>0</v>
          </cell>
          <cell r="AO20">
            <v>320</v>
          </cell>
          <cell r="AP20">
            <v>340</v>
          </cell>
          <cell r="AQ20">
            <v>259</v>
          </cell>
          <cell r="AR20">
            <v>70</v>
          </cell>
          <cell r="AS20">
            <v>0</v>
          </cell>
          <cell r="AT20">
            <v>68</v>
          </cell>
          <cell r="AU20">
            <v>22</v>
          </cell>
          <cell r="AV20">
            <v>184</v>
          </cell>
          <cell r="AW20">
            <v>62</v>
          </cell>
          <cell r="AX20">
            <v>5</v>
          </cell>
          <cell r="AY20">
            <v>5</v>
          </cell>
          <cell r="AZ20">
            <v>70</v>
          </cell>
          <cell r="BA20">
            <v>0</v>
          </cell>
          <cell r="BB20">
            <v>20</v>
          </cell>
          <cell r="BC20">
            <v>0</v>
          </cell>
          <cell r="BD20">
            <v>11</v>
          </cell>
          <cell r="BE20">
            <v>5</v>
          </cell>
          <cell r="BF20">
            <v>24</v>
          </cell>
          <cell r="BG20">
            <v>285</v>
          </cell>
          <cell r="BH20">
            <v>17</v>
          </cell>
          <cell r="BI20">
            <v>32</v>
          </cell>
          <cell r="BJ20">
            <v>15</v>
          </cell>
          <cell r="BK20">
            <v>0</v>
          </cell>
          <cell r="BL20">
            <v>20</v>
          </cell>
          <cell r="BM20">
            <v>62</v>
          </cell>
          <cell r="BN20">
            <v>38</v>
          </cell>
          <cell r="BO20">
            <v>21</v>
          </cell>
          <cell r="BP20">
            <v>11</v>
          </cell>
          <cell r="BQ20">
            <v>8</v>
          </cell>
          <cell r="BR20">
            <v>23</v>
          </cell>
          <cell r="BS20">
            <v>25</v>
          </cell>
          <cell r="BT20">
            <v>8</v>
          </cell>
          <cell r="BU20">
            <v>33</v>
          </cell>
          <cell r="BV20">
            <v>24</v>
          </cell>
          <cell r="BW20">
            <v>16</v>
          </cell>
          <cell r="BX20">
            <v>20</v>
          </cell>
          <cell r="BY20">
            <v>10</v>
          </cell>
          <cell r="BZ20">
            <v>0</v>
          </cell>
          <cell r="CA20">
            <v>7</v>
          </cell>
          <cell r="CB20">
            <v>8</v>
          </cell>
          <cell r="CC20">
            <v>16</v>
          </cell>
          <cell r="CD20">
            <v>46</v>
          </cell>
          <cell r="CE20">
            <v>34</v>
          </cell>
          <cell r="CF20">
            <v>12</v>
          </cell>
          <cell r="CG20">
            <v>0</v>
          </cell>
          <cell r="CH20">
            <v>5</v>
          </cell>
          <cell r="CI20">
            <v>10</v>
          </cell>
          <cell r="CJ20">
            <v>0</v>
          </cell>
          <cell r="CK20">
            <v>7</v>
          </cell>
          <cell r="CL20">
            <v>40</v>
          </cell>
          <cell r="CM20">
            <v>0</v>
          </cell>
          <cell r="CN20">
            <v>10</v>
          </cell>
          <cell r="CO20">
            <v>78</v>
          </cell>
          <cell r="CP20">
            <v>5</v>
          </cell>
          <cell r="CQ20">
            <v>5</v>
          </cell>
          <cell r="CR20">
            <v>7</v>
          </cell>
          <cell r="CS20">
            <v>23</v>
          </cell>
          <cell r="CT20">
            <v>85</v>
          </cell>
          <cell r="CU20">
            <v>0</v>
          </cell>
          <cell r="CV20">
            <v>0</v>
          </cell>
          <cell r="CW20">
            <v>0</v>
          </cell>
          <cell r="CX20">
            <v>18</v>
          </cell>
          <cell r="CY20">
            <v>0</v>
          </cell>
          <cell r="CZ20">
            <v>0.4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10</v>
          </cell>
          <cell r="DO20">
            <v>16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16</v>
          </cell>
          <cell r="DZ20">
            <v>0</v>
          </cell>
          <cell r="EA20">
            <v>0</v>
          </cell>
          <cell r="EB20">
            <v>169</v>
          </cell>
          <cell r="EC20">
            <v>11</v>
          </cell>
          <cell r="ED20">
            <v>0</v>
          </cell>
          <cell r="EE20">
            <v>8</v>
          </cell>
          <cell r="EF20">
            <v>0</v>
          </cell>
          <cell r="EG20">
            <v>0</v>
          </cell>
          <cell r="EH20">
            <v>0</v>
          </cell>
          <cell r="EI20">
            <v>174</v>
          </cell>
          <cell r="EJ20">
            <v>240</v>
          </cell>
          <cell r="EK20">
            <v>0</v>
          </cell>
          <cell r="EL20">
            <v>0</v>
          </cell>
          <cell r="EM20">
            <v>0</v>
          </cell>
          <cell r="EN20">
            <v>73</v>
          </cell>
          <cell r="EO20">
            <v>290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21</v>
          </cell>
          <cell r="EZ20">
            <v>15</v>
          </cell>
          <cell r="FA20">
            <v>5</v>
          </cell>
          <cell r="FB20">
            <v>12</v>
          </cell>
          <cell r="FC20">
            <v>8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</row>
        <row r="21">
          <cell r="B21">
            <v>30</v>
          </cell>
          <cell r="C21">
            <v>0</v>
          </cell>
          <cell r="D21">
            <v>0</v>
          </cell>
          <cell r="E21">
            <v>0</v>
          </cell>
          <cell r="F21">
            <v>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45</v>
          </cell>
          <cell r="R21">
            <v>0</v>
          </cell>
          <cell r="S21">
            <v>0</v>
          </cell>
          <cell r="T21">
            <v>132</v>
          </cell>
          <cell r="U21">
            <v>35</v>
          </cell>
          <cell r="V21">
            <v>0</v>
          </cell>
          <cell r="W21">
            <v>0</v>
          </cell>
          <cell r="X21">
            <v>200</v>
          </cell>
          <cell r="Y21">
            <v>0</v>
          </cell>
          <cell r="Z21">
            <v>162</v>
          </cell>
          <cell r="AA21">
            <v>0</v>
          </cell>
          <cell r="AB21">
            <v>0</v>
          </cell>
          <cell r="AC21">
            <v>0</v>
          </cell>
          <cell r="AD21">
            <v>150</v>
          </cell>
          <cell r="AE21">
            <v>0</v>
          </cell>
          <cell r="AF21">
            <v>0</v>
          </cell>
          <cell r="AG21">
            <v>43</v>
          </cell>
          <cell r="AH21">
            <v>183</v>
          </cell>
          <cell r="AI21">
            <v>120</v>
          </cell>
          <cell r="AJ21">
            <v>200</v>
          </cell>
          <cell r="AK21">
            <v>10</v>
          </cell>
          <cell r="AL21">
            <v>0</v>
          </cell>
          <cell r="AM21">
            <v>0</v>
          </cell>
          <cell r="AN21">
            <v>0</v>
          </cell>
          <cell r="AO21">
            <v>320</v>
          </cell>
          <cell r="AP21">
            <v>350</v>
          </cell>
          <cell r="AQ21">
            <v>261</v>
          </cell>
          <cell r="AR21">
            <v>71</v>
          </cell>
          <cell r="AS21">
            <v>0</v>
          </cell>
          <cell r="AT21">
            <v>68</v>
          </cell>
          <cell r="AU21">
            <v>22</v>
          </cell>
          <cell r="AV21">
            <v>180</v>
          </cell>
          <cell r="AW21">
            <v>49</v>
          </cell>
          <cell r="AX21">
            <v>5</v>
          </cell>
          <cell r="AY21">
            <v>5</v>
          </cell>
          <cell r="AZ21">
            <v>70</v>
          </cell>
          <cell r="BA21">
            <v>0</v>
          </cell>
          <cell r="BB21">
            <v>20</v>
          </cell>
          <cell r="BC21">
            <v>0</v>
          </cell>
          <cell r="BD21">
            <v>11</v>
          </cell>
          <cell r="BE21">
            <v>5</v>
          </cell>
          <cell r="BF21">
            <v>24</v>
          </cell>
          <cell r="BG21">
            <v>280</v>
          </cell>
          <cell r="BH21">
            <v>17</v>
          </cell>
          <cell r="BI21">
            <v>33</v>
          </cell>
          <cell r="BJ21">
            <v>15</v>
          </cell>
          <cell r="BK21">
            <v>0</v>
          </cell>
          <cell r="BL21">
            <v>20</v>
          </cell>
          <cell r="BM21">
            <v>62</v>
          </cell>
          <cell r="BN21">
            <v>28</v>
          </cell>
          <cell r="BO21">
            <v>21</v>
          </cell>
          <cell r="BP21">
            <v>11</v>
          </cell>
          <cell r="BQ21">
            <v>20</v>
          </cell>
          <cell r="BR21">
            <v>23</v>
          </cell>
          <cell r="BS21">
            <v>25</v>
          </cell>
          <cell r="BT21">
            <v>14</v>
          </cell>
          <cell r="BU21">
            <v>33</v>
          </cell>
          <cell r="BV21">
            <v>24</v>
          </cell>
          <cell r="BW21">
            <v>14</v>
          </cell>
          <cell r="BX21">
            <v>20</v>
          </cell>
          <cell r="BY21">
            <v>10</v>
          </cell>
          <cell r="BZ21">
            <v>0</v>
          </cell>
          <cell r="CA21">
            <v>7</v>
          </cell>
          <cell r="CB21">
            <v>43</v>
          </cell>
          <cell r="CC21">
            <v>16</v>
          </cell>
          <cell r="CD21">
            <v>95</v>
          </cell>
          <cell r="CE21">
            <v>34</v>
          </cell>
          <cell r="CF21">
            <v>12</v>
          </cell>
          <cell r="CG21">
            <v>0</v>
          </cell>
          <cell r="CH21">
            <v>5</v>
          </cell>
          <cell r="CI21">
            <v>10</v>
          </cell>
          <cell r="CJ21">
            <v>0</v>
          </cell>
          <cell r="CK21">
            <v>7</v>
          </cell>
          <cell r="CL21">
            <v>40</v>
          </cell>
          <cell r="CM21">
            <v>0</v>
          </cell>
          <cell r="CN21">
            <v>10</v>
          </cell>
          <cell r="CO21">
            <v>78</v>
          </cell>
          <cell r="CP21">
            <v>5</v>
          </cell>
          <cell r="CQ21">
            <v>5</v>
          </cell>
          <cell r="CR21">
            <v>15</v>
          </cell>
          <cell r="CS21">
            <v>23</v>
          </cell>
          <cell r="CT21">
            <v>85</v>
          </cell>
          <cell r="CU21">
            <v>0</v>
          </cell>
          <cell r="CV21">
            <v>18</v>
          </cell>
          <cell r="CW21">
            <v>0</v>
          </cell>
          <cell r="CX21">
            <v>18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10</v>
          </cell>
          <cell r="DO21">
            <v>16</v>
          </cell>
          <cell r="DP21">
            <v>0</v>
          </cell>
          <cell r="DQ21">
            <v>0</v>
          </cell>
          <cell r="DR21">
            <v>47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16</v>
          </cell>
          <cell r="DZ21">
            <v>0</v>
          </cell>
          <cell r="EA21">
            <v>0</v>
          </cell>
          <cell r="EB21">
            <v>163</v>
          </cell>
          <cell r="EC21">
            <v>17</v>
          </cell>
          <cell r="ED21">
            <v>0</v>
          </cell>
          <cell r="EE21">
            <v>8</v>
          </cell>
          <cell r="EF21">
            <v>26</v>
          </cell>
          <cell r="EG21">
            <v>0</v>
          </cell>
          <cell r="EH21">
            <v>0</v>
          </cell>
          <cell r="EI21">
            <v>267</v>
          </cell>
          <cell r="EJ21">
            <v>240</v>
          </cell>
          <cell r="EK21">
            <v>0</v>
          </cell>
          <cell r="EL21">
            <v>0</v>
          </cell>
          <cell r="EM21">
            <v>0</v>
          </cell>
          <cell r="EN21">
            <v>73</v>
          </cell>
          <cell r="EO21">
            <v>290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19</v>
          </cell>
          <cell r="EZ21">
            <v>15</v>
          </cell>
          <cell r="FA21">
            <v>5</v>
          </cell>
          <cell r="FB21">
            <v>12</v>
          </cell>
          <cell r="FC21">
            <v>12</v>
          </cell>
          <cell r="FD21">
            <v>0</v>
          </cell>
          <cell r="FE21">
            <v>0</v>
          </cell>
          <cell r="FF21">
            <v>17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</row>
        <row r="22">
          <cell r="B22">
            <v>30</v>
          </cell>
          <cell r="C22">
            <v>0</v>
          </cell>
          <cell r="D22">
            <v>0</v>
          </cell>
          <cell r="E22">
            <v>0</v>
          </cell>
          <cell r="F22">
            <v>26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67</v>
          </cell>
          <cell r="M22">
            <v>85</v>
          </cell>
          <cell r="N22">
            <v>0</v>
          </cell>
          <cell r="O22">
            <v>8</v>
          </cell>
          <cell r="P22">
            <v>0</v>
          </cell>
          <cell r="Q22">
            <v>45</v>
          </cell>
          <cell r="R22">
            <v>0</v>
          </cell>
          <cell r="S22">
            <v>0</v>
          </cell>
          <cell r="T22">
            <v>191</v>
          </cell>
          <cell r="U22">
            <v>35</v>
          </cell>
          <cell r="V22">
            <v>0</v>
          </cell>
          <cell r="W22">
            <v>0</v>
          </cell>
          <cell r="X22">
            <v>200</v>
          </cell>
          <cell r="Y22">
            <v>0</v>
          </cell>
          <cell r="Z22">
            <v>138</v>
          </cell>
          <cell r="AA22">
            <v>0</v>
          </cell>
          <cell r="AB22">
            <v>0</v>
          </cell>
          <cell r="AC22">
            <v>0</v>
          </cell>
          <cell r="AD22">
            <v>150</v>
          </cell>
          <cell r="AE22">
            <v>0</v>
          </cell>
          <cell r="AF22">
            <v>0</v>
          </cell>
          <cell r="AG22">
            <v>43</v>
          </cell>
          <cell r="AH22">
            <v>206</v>
          </cell>
          <cell r="AI22">
            <v>120</v>
          </cell>
          <cell r="AJ22">
            <v>200</v>
          </cell>
          <cell r="AK22">
            <v>10</v>
          </cell>
          <cell r="AL22">
            <v>0</v>
          </cell>
          <cell r="AM22">
            <v>0</v>
          </cell>
          <cell r="AN22">
            <v>0</v>
          </cell>
          <cell r="AO22">
            <v>300</v>
          </cell>
          <cell r="AP22">
            <v>380</v>
          </cell>
          <cell r="AQ22">
            <v>302</v>
          </cell>
          <cell r="AR22">
            <v>71</v>
          </cell>
          <cell r="AS22">
            <v>0</v>
          </cell>
          <cell r="AT22">
            <v>68</v>
          </cell>
          <cell r="AU22">
            <v>30</v>
          </cell>
          <cell r="AV22">
            <v>208</v>
          </cell>
          <cell r="AW22">
            <v>62</v>
          </cell>
          <cell r="AX22">
            <v>5</v>
          </cell>
          <cell r="AY22">
            <v>5</v>
          </cell>
          <cell r="AZ22">
            <v>68</v>
          </cell>
          <cell r="BA22">
            <v>0</v>
          </cell>
          <cell r="BB22">
            <v>20</v>
          </cell>
          <cell r="BC22">
            <v>0</v>
          </cell>
          <cell r="BD22">
            <v>11</v>
          </cell>
          <cell r="BE22">
            <v>5</v>
          </cell>
          <cell r="BF22">
            <v>24</v>
          </cell>
          <cell r="BG22">
            <v>250</v>
          </cell>
          <cell r="BH22">
            <v>55</v>
          </cell>
          <cell r="BI22">
            <v>32</v>
          </cell>
          <cell r="BJ22">
            <v>12</v>
          </cell>
          <cell r="BK22">
            <v>0</v>
          </cell>
          <cell r="BL22">
            <v>20</v>
          </cell>
          <cell r="BM22">
            <v>96</v>
          </cell>
          <cell r="BN22">
            <v>24</v>
          </cell>
          <cell r="BO22">
            <v>21</v>
          </cell>
          <cell r="BP22">
            <v>11</v>
          </cell>
          <cell r="BQ22">
            <v>33</v>
          </cell>
          <cell r="BR22">
            <v>23</v>
          </cell>
          <cell r="BS22">
            <v>25</v>
          </cell>
          <cell r="BT22">
            <v>14</v>
          </cell>
          <cell r="BU22">
            <v>33</v>
          </cell>
          <cell r="BV22">
            <v>24</v>
          </cell>
          <cell r="BW22">
            <v>14</v>
          </cell>
          <cell r="BX22">
            <v>20</v>
          </cell>
          <cell r="BY22">
            <v>10</v>
          </cell>
          <cell r="BZ22">
            <v>0</v>
          </cell>
          <cell r="CA22">
            <v>12</v>
          </cell>
          <cell r="CB22">
            <v>43</v>
          </cell>
          <cell r="CC22">
            <v>75</v>
          </cell>
          <cell r="CD22">
            <v>95</v>
          </cell>
          <cell r="CE22">
            <v>39</v>
          </cell>
          <cell r="CF22">
            <v>20</v>
          </cell>
          <cell r="CG22">
            <v>0</v>
          </cell>
          <cell r="CH22">
            <v>6</v>
          </cell>
          <cell r="CI22">
            <v>40</v>
          </cell>
          <cell r="CJ22">
            <v>0</v>
          </cell>
          <cell r="CK22">
            <v>12</v>
          </cell>
          <cell r="CL22">
            <v>50</v>
          </cell>
          <cell r="CM22">
            <v>0</v>
          </cell>
          <cell r="CN22">
            <v>10</v>
          </cell>
          <cell r="CO22">
            <v>78</v>
          </cell>
          <cell r="CP22">
            <v>30</v>
          </cell>
          <cell r="CQ22">
            <v>5</v>
          </cell>
          <cell r="CR22">
            <v>24</v>
          </cell>
          <cell r="CS22">
            <v>23</v>
          </cell>
          <cell r="CT22">
            <v>92</v>
          </cell>
          <cell r="CU22">
            <v>0</v>
          </cell>
          <cell r="CV22">
            <v>32</v>
          </cell>
          <cell r="CW22">
            <v>10</v>
          </cell>
          <cell r="CX22">
            <v>22</v>
          </cell>
          <cell r="CY22">
            <v>0</v>
          </cell>
          <cell r="CZ22">
            <v>0</v>
          </cell>
          <cell r="DA22">
            <v>18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51</v>
          </cell>
          <cell r="DO22">
            <v>107</v>
          </cell>
          <cell r="DP22">
            <v>0</v>
          </cell>
          <cell r="DQ22">
            <v>0</v>
          </cell>
          <cell r="DR22">
            <v>50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80</v>
          </cell>
          <cell r="DZ22">
            <v>0</v>
          </cell>
          <cell r="EA22">
            <v>0</v>
          </cell>
          <cell r="EB22">
            <v>171</v>
          </cell>
          <cell r="EC22">
            <v>23</v>
          </cell>
          <cell r="ED22">
            <v>0</v>
          </cell>
          <cell r="EE22">
            <v>40</v>
          </cell>
          <cell r="EF22">
            <v>40</v>
          </cell>
          <cell r="EG22">
            <v>0</v>
          </cell>
          <cell r="EH22">
            <v>0</v>
          </cell>
          <cell r="EI22">
            <v>490</v>
          </cell>
          <cell r="EJ22">
            <v>315</v>
          </cell>
          <cell r="EK22">
            <v>0</v>
          </cell>
          <cell r="EL22">
            <v>0</v>
          </cell>
          <cell r="EM22">
            <v>0</v>
          </cell>
          <cell r="EN22">
            <v>72</v>
          </cell>
          <cell r="EO22">
            <v>290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22</v>
          </cell>
          <cell r="EZ22">
            <v>15</v>
          </cell>
          <cell r="FA22">
            <v>8</v>
          </cell>
          <cell r="FB22">
            <v>50</v>
          </cell>
          <cell r="FC22">
            <v>43</v>
          </cell>
          <cell r="FD22">
            <v>0</v>
          </cell>
          <cell r="FE22">
            <v>0</v>
          </cell>
          <cell r="FF22">
            <v>34</v>
          </cell>
          <cell r="FG22">
            <v>0</v>
          </cell>
          <cell r="FH22">
            <v>0</v>
          </cell>
          <cell r="FI22">
            <v>0</v>
          </cell>
          <cell r="FJ22">
            <v>18</v>
          </cell>
          <cell r="FK22">
            <v>20</v>
          </cell>
          <cell r="FL22">
            <v>0</v>
          </cell>
          <cell r="FM22">
            <v>0</v>
          </cell>
          <cell r="F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</row>
        <row r="24">
          <cell r="B24">
            <v>75</v>
          </cell>
          <cell r="C24">
            <v>0</v>
          </cell>
          <cell r="D24">
            <v>0</v>
          </cell>
          <cell r="E24">
            <v>0</v>
          </cell>
          <cell r="F24">
            <v>26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67</v>
          </cell>
          <cell r="M24">
            <v>84</v>
          </cell>
          <cell r="N24">
            <v>0</v>
          </cell>
          <cell r="O24">
            <v>8</v>
          </cell>
          <cell r="P24">
            <v>0</v>
          </cell>
          <cell r="Q24">
            <v>45</v>
          </cell>
          <cell r="R24">
            <v>0</v>
          </cell>
          <cell r="S24">
            <v>0</v>
          </cell>
          <cell r="T24">
            <v>192</v>
          </cell>
          <cell r="U24">
            <v>35</v>
          </cell>
          <cell r="V24">
            <v>0</v>
          </cell>
          <cell r="W24">
            <v>0</v>
          </cell>
          <cell r="X24">
            <v>200</v>
          </cell>
          <cell r="Y24">
            <v>0</v>
          </cell>
          <cell r="Z24">
            <v>138</v>
          </cell>
          <cell r="AA24">
            <v>0</v>
          </cell>
          <cell r="AB24">
            <v>0</v>
          </cell>
          <cell r="AC24">
            <v>0</v>
          </cell>
          <cell r="AD24">
            <v>150</v>
          </cell>
          <cell r="AE24">
            <v>0</v>
          </cell>
          <cell r="AF24">
            <v>0</v>
          </cell>
          <cell r="AG24">
            <v>43</v>
          </cell>
          <cell r="AH24">
            <v>184</v>
          </cell>
          <cell r="AI24">
            <v>140</v>
          </cell>
          <cell r="AJ24">
            <v>270</v>
          </cell>
          <cell r="AK24">
            <v>50</v>
          </cell>
          <cell r="AL24">
            <v>0</v>
          </cell>
          <cell r="AM24">
            <v>0</v>
          </cell>
          <cell r="AN24">
            <v>0</v>
          </cell>
          <cell r="AO24">
            <v>350</v>
          </cell>
          <cell r="AP24">
            <v>400</v>
          </cell>
          <cell r="AQ24">
            <v>321</v>
          </cell>
          <cell r="AR24">
            <v>71</v>
          </cell>
          <cell r="AS24">
            <v>0</v>
          </cell>
          <cell r="AT24">
            <v>69</v>
          </cell>
          <cell r="AU24">
            <v>50</v>
          </cell>
          <cell r="AV24">
            <v>179</v>
          </cell>
          <cell r="AW24">
            <v>60</v>
          </cell>
          <cell r="AX24">
            <v>50</v>
          </cell>
          <cell r="AY24">
            <v>45</v>
          </cell>
          <cell r="AZ24">
            <v>68</v>
          </cell>
          <cell r="BA24">
            <v>0</v>
          </cell>
          <cell r="BB24">
            <v>20</v>
          </cell>
          <cell r="BC24">
            <v>0</v>
          </cell>
          <cell r="BD24">
            <v>11</v>
          </cell>
          <cell r="BE24">
            <v>31</v>
          </cell>
          <cell r="BF24">
            <v>24</v>
          </cell>
          <cell r="BG24">
            <v>290</v>
          </cell>
          <cell r="BH24">
            <v>36</v>
          </cell>
          <cell r="BI24">
            <v>42</v>
          </cell>
          <cell r="BJ24">
            <v>15</v>
          </cell>
          <cell r="BK24">
            <v>0</v>
          </cell>
          <cell r="BL24">
            <v>20</v>
          </cell>
          <cell r="BM24">
            <v>100</v>
          </cell>
          <cell r="BN24">
            <v>42</v>
          </cell>
          <cell r="BO24">
            <v>21</v>
          </cell>
          <cell r="BP24">
            <v>11</v>
          </cell>
          <cell r="BQ24">
            <v>33</v>
          </cell>
          <cell r="BR24">
            <v>23</v>
          </cell>
          <cell r="BS24">
            <v>25</v>
          </cell>
          <cell r="BT24">
            <v>14</v>
          </cell>
          <cell r="BU24">
            <v>33</v>
          </cell>
          <cell r="BV24">
            <v>24</v>
          </cell>
          <cell r="BW24">
            <v>55</v>
          </cell>
          <cell r="BX24">
            <v>36</v>
          </cell>
          <cell r="BY24">
            <v>35</v>
          </cell>
          <cell r="BZ24">
            <v>0</v>
          </cell>
          <cell r="CA24">
            <v>24</v>
          </cell>
          <cell r="CB24">
            <v>43</v>
          </cell>
          <cell r="CC24">
            <v>70</v>
          </cell>
          <cell r="CD24">
            <v>95</v>
          </cell>
          <cell r="CE24">
            <v>43</v>
          </cell>
          <cell r="CF24">
            <v>15</v>
          </cell>
          <cell r="CG24">
            <v>0</v>
          </cell>
          <cell r="CH24">
            <v>10</v>
          </cell>
          <cell r="CI24">
            <v>10</v>
          </cell>
          <cell r="CJ24">
            <v>0</v>
          </cell>
          <cell r="CK24">
            <v>9</v>
          </cell>
          <cell r="CL24">
            <v>82</v>
          </cell>
          <cell r="CM24">
            <v>0</v>
          </cell>
          <cell r="CN24">
            <v>25</v>
          </cell>
          <cell r="CO24">
            <v>78</v>
          </cell>
          <cell r="CP24">
            <v>32</v>
          </cell>
          <cell r="CQ24">
            <v>12</v>
          </cell>
          <cell r="CR24">
            <v>7</v>
          </cell>
          <cell r="CS24">
            <v>23</v>
          </cell>
          <cell r="CT24">
            <v>92</v>
          </cell>
          <cell r="CU24">
            <v>0</v>
          </cell>
          <cell r="CV24">
            <v>25</v>
          </cell>
          <cell r="CW24">
            <v>15</v>
          </cell>
          <cell r="CX24">
            <v>55</v>
          </cell>
          <cell r="CY24">
            <v>0</v>
          </cell>
          <cell r="CZ24">
            <v>0</v>
          </cell>
          <cell r="DA24">
            <v>18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10</v>
          </cell>
          <cell r="DO24">
            <v>115</v>
          </cell>
          <cell r="DP24">
            <v>0</v>
          </cell>
          <cell r="DQ24">
            <v>0</v>
          </cell>
          <cell r="DR24">
            <v>50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80</v>
          </cell>
          <cell r="DZ24">
            <v>0</v>
          </cell>
          <cell r="EA24">
            <v>0</v>
          </cell>
          <cell r="EB24">
            <v>171</v>
          </cell>
          <cell r="EC24">
            <v>25</v>
          </cell>
          <cell r="ED24">
            <v>0</v>
          </cell>
          <cell r="EE24">
            <v>40</v>
          </cell>
          <cell r="EF24">
            <v>0</v>
          </cell>
          <cell r="EG24">
            <v>0</v>
          </cell>
          <cell r="EH24">
            <v>0</v>
          </cell>
          <cell r="EI24">
            <v>490</v>
          </cell>
          <cell r="EJ24">
            <v>320</v>
          </cell>
          <cell r="EK24">
            <v>0</v>
          </cell>
          <cell r="EL24">
            <v>0</v>
          </cell>
          <cell r="EM24">
            <v>0</v>
          </cell>
          <cell r="EN24">
            <v>72</v>
          </cell>
          <cell r="EO24">
            <v>290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22</v>
          </cell>
          <cell r="EZ24">
            <v>15</v>
          </cell>
          <cell r="FA24">
            <v>8</v>
          </cell>
          <cell r="FB24">
            <v>50</v>
          </cell>
          <cell r="FC24">
            <v>43</v>
          </cell>
          <cell r="FD24">
            <v>0</v>
          </cell>
          <cell r="FE24">
            <v>0</v>
          </cell>
          <cell r="FF24">
            <v>17</v>
          </cell>
          <cell r="FG24">
            <v>0</v>
          </cell>
          <cell r="FH24">
            <v>0</v>
          </cell>
          <cell r="FI24">
            <v>0</v>
          </cell>
          <cell r="FJ24">
            <v>18</v>
          </cell>
          <cell r="FK24">
            <v>20</v>
          </cell>
          <cell r="FL24">
            <v>0</v>
          </cell>
          <cell r="FM24">
            <v>0</v>
          </cell>
          <cell r="FN24">
            <v>0</v>
          </cell>
        </row>
        <row r="25">
          <cell r="B25">
            <v>75</v>
          </cell>
          <cell r="C25">
            <v>0</v>
          </cell>
          <cell r="D25">
            <v>0</v>
          </cell>
          <cell r="E25">
            <v>0</v>
          </cell>
          <cell r="F25">
            <v>26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67</v>
          </cell>
          <cell r="M25">
            <v>84</v>
          </cell>
          <cell r="N25">
            <v>0</v>
          </cell>
          <cell r="O25">
            <v>0</v>
          </cell>
          <cell r="P25">
            <v>0</v>
          </cell>
          <cell r="Q25">
            <v>47</v>
          </cell>
          <cell r="R25">
            <v>0</v>
          </cell>
          <cell r="S25">
            <v>0</v>
          </cell>
          <cell r="T25">
            <v>191</v>
          </cell>
          <cell r="U25">
            <v>35</v>
          </cell>
          <cell r="V25">
            <v>0</v>
          </cell>
          <cell r="W25">
            <v>0</v>
          </cell>
          <cell r="X25">
            <v>200</v>
          </cell>
          <cell r="Y25">
            <v>0</v>
          </cell>
          <cell r="Z25">
            <v>138</v>
          </cell>
          <cell r="AA25">
            <v>0</v>
          </cell>
          <cell r="AB25">
            <v>0</v>
          </cell>
          <cell r="AC25">
            <v>0</v>
          </cell>
          <cell r="AD25">
            <v>150</v>
          </cell>
          <cell r="AE25">
            <v>0</v>
          </cell>
          <cell r="AF25">
            <v>0</v>
          </cell>
          <cell r="AG25">
            <v>43</v>
          </cell>
          <cell r="AH25">
            <v>206</v>
          </cell>
          <cell r="AI25">
            <v>140</v>
          </cell>
          <cell r="AJ25">
            <v>268</v>
          </cell>
          <cell r="AK25">
            <v>56</v>
          </cell>
          <cell r="AL25">
            <v>0</v>
          </cell>
          <cell r="AM25">
            <v>0</v>
          </cell>
          <cell r="AN25">
            <v>20</v>
          </cell>
          <cell r="AO25">
            <v>350</v>
          </cell>
          <cell r="AP25">
            <v>420</v>
          </cell>
          <cell r="AQ25">
            <v>368</v>
          </cell>
          <cell r="AR25">
            <v>72</v>
          </cell>
          <cell r="AS25">
            <v>0</v>
          </cell>
          <cell r="AT25">
            <v>69</v>
          </cell>
          <cell r="AU25">
            <v>50</v>
          </cell>
          <cell r="AV25">
            <v>204</v>
          </cell>
          <cell r="AW25">
            <v>62</v>
          </cell>
          <cell r="AX25">
            <v>50</v>
          </cell>
          <cell r="AY25">
            <v>45</v>
          </cell>
          <cell r="AZ25">
            <v>68</v>
          </cell>
          <cell r="BA25">
            <v>0</v>
          </cell>
          <cell r="BB25">
            <v>20</v>
          </cell>
          <cell r="BC25">
            <v>0</v>
          </cell>
          <cell r="BD25">
            <v>11</v>
          </cell>
          <cell r="BE25">
            <v>31</v>
          </cell>
          <cell r="BF25">
            <v>24</v>
          </cell>
          <cell r="BG25">
            <v>320</v>
          </cell>
          <cell r="BH25">
            <v>17</v>
          </cell>
          <cell r="BI25">
            <v>42</v>
          </cell>
          <cell r="BJ25">
            <v>15</v>
          </cell>
          <cell r="BK25">
            <v>16</v>
          </cell>
          <cell r="BL25">
            <v>22</v>
          </cell>
          <cell r="BM25">
            <v>100</v>
          </cell>
          <cell r="BN25">
            <v>42</v>
          </cell>
          <cell r="BO25">
            <v>21</v>
          </cell>
          <cell r="BP25">
            <v>11</v>
          </cell>
          <cell r="BQ25">
            <v>33</v>
          </cell>
          <cell r="BR25">
            <v>23</v>
          </cell>
          <cell r="BS25">
            <v>25</v>
          </cell>
          <cell r="BT25">
            <v>14</v>
          </cell>
          <cell r="BU25">
            <v>33</v>
          </cell>
          <cell r="BV25">
            <v>24</v>
          </cell>
          <cell r="BW25">
            <v>55</v>
          </cell>
          <cell r="BX25">
            <v>35</v>
          </cell>
          <cell r="BY25">
            <v>35</v>
          </cell>
          <cell r="BZ25">
            <v>0</v>
          </cell>
          <cell r="CA25">
            <v>7</v>
          </cell>
          <cell r="CB25">
            <v>43</v>
          </cell>
          <cell r="CC25">
            <v>60</v>
          </cell>
          <cell r="CD25">
            <v>95</v>
          </cell>
          <cell r="CE25">
            <v>43</v>
          </cell>
          <cell r="CF25">
            <v>15</v>
          </cell>
          <cell r="CG25">
            <v>0</v>
          </cell>
          <cell r="CH25">
            <v>11</v>
          </cell>
          <cell r="CI25">
            <v>10</v>
          </cell>
          <cell r="CJ25">
            <v>0</v>
          </cell>
          <cell r="CK25">
            <v>7</v>
          </cell>
          <cell r="CL25">
            <v>83</v>
          </cell>
          <cell r="CM25">
            <v>0</v>
          </cell>
          <cell r="CN25">
            <v>25</v>
          </cell>
          <cell r="CO25">
            <v>78</v>
          </cell>
          <cell r="CP25">
            <v>32</v>
          </cell>
          <cell r="CQ25">
            <v>30</v>
          </cell>
          <cell r="CR25">
            <v>7</v>
          </cell>
          <cell r="CS25">
            <v>23</v>
          </cell>
          <cell r="CT25">
            <v>92</v>
          </cell>
          <cell r="CU25">
            <v>0</v>
          </cell>
          <cell r="CV25">
            <v>25</v>
          </cell>
          <cell r="CW25">
            <v>15</v>
          </cell>
          <cell r="CX25">
            <v>55</v>
          </cell>
          <cell r="CY25">
            <v>0</v>
          </cell>
          <cell r="CZ25">
            <v>0</v>
          </cell>
          <cell r="DA25">
            <v>18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10</v>
          </cell>
          <cell r="DO25">
            <v>69</v>
          </cell>
          <cell r="DP25">
            <v>0</v>
          </cell>
          <cell r="DQ25">
            <v>0</v>
          </cell>
          <cell r="DR25">
            <v>33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80</v>
          </cell>
          <cell r="DZ25">
            <v>0</v>
          </cell>
          <cell r="EA25">
            <v>0</v>
          </cell>
          <cell r="EB25">
            <v>171</v>
          </cell>
          <cell r="EC25">
            <v>25</v>
          </cell>
          <cell r="ED25">
            <v>0</v>
          </cell>
          <cell r="EE25">
            <v>40</v>
          </cell>
          <cell r="EF25">
            <v>0</v>
          </cell>
          <cell r="EG25">
            <v>0</v>
          </cell>
          <cell r="EH25">
            <v>0</v>
          </cell>
          <cell r="EI25">
            <v>490</v>
          </cell>
          <cell r="EJ25">
            <v>317</v>
          </cell>
          <cell r="EK25">
            <v>0</v>
          </cell>
          <cell r="EL25">
            <v>0</v>
          </cell>
          <cell r="EM25">
            <v>0</v>
          </cell>
          <cell r="EN25">
            <v>72</v>
          </cell>
          <cell r="EO25">
            <v>290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22</v>
          </cell>
          <cell r="EZ25">
            <v>15</v>
          </cell>
          <cell r="FA25">
            <v>8</v>
          </cell>
          <cell r="FB25">
            <v>50</v>
          </cell>
          <cell r="FC25">
            <v>43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18</v>
          </cell>
          <cell r="FK25">
            <v>20</v>
          </cell>
          <cell r="FL25">
            <v>0</v>
          </cell>
          <cell r="FM25">
            <v>0</v>
          </cell>
          <cell r="FN25">
            <v>0</v>
          </cell>
        </row>
        <row r="26">
          <cell r="B26">
            <v>75</v>
          </cell>
          <cell r="C26">
            <v>0</v>
          </cell>
          <cell r="D26">
            <v>0</v>
          </cell>
          <cell r="E26">
            <v>0</v>
          </cell>
          <cell r="F26">
            <v>26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84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0</v>
          </cell>
          <cell r="S26">
            <v>0</v>
          </cell>
          <cell r="T26">
            <v>191</v>
          </cell>
          <cell r="U26">
            <v>35</v>
          </cell>
          <cell r="V26">
            <v>0</v>
          </cell>
          <cell r="W26">
            <v>0</v>
          </cell>
          <cell r="X26">
            <v>200</v>
          </cell>
          <cell r="Y26">
            <v>0</v>
          </cell>
          <cell r="Z26">
            <v>138</v>
          </cell>
          <cell r="AA26">
            <v>0</v>
          </cell>
          <cell r="AB26">
            <v>0</v>
          </cell>
          <cell r="AC26">
            <v>0</v>
          </cell>
          <cell r="AD26">
            <v>150</v>
          </cell>
          <cell r="AE26">
            <v>0</v>
          </cell>
          <cell r="AF26">
            <v>0</v>
          </cell>
          <cell r="AG26">
            <v>43</v>
          </cell>
          <cell r="AH26">
            <v>189</v>
          </cell>
          <cell r="AI26">
            <v>180</v>
          </cell>
          <cell r="AJ26">
            <v>270</v>
          </cell>
          <cell r="AK26">
            <v>56</v>
          </cell>
          <cell r="AL26">
            <v>0</v>
          </cell>
          <cell r="AM26">
            <v>0</v>
          </cell>
          <cell r="AN26">
            <v>40</v>
          </cell>
          <cell r="AO26">
            <v>380</v>
          </cell>
          <cell r="AP26">
            <v>430</v>
          </cell>
          <cell r="AQ26">
            <v>371</v>
          </cell>
          <cell r="AR26">
            <v>72</v>
          </cell>
          <cell r="AS26">
            <v>0</v>
          </cell>
          <cell r="AT26">
            <v>69</v>
          </cell>
          <cell r="AU26">
            <v>50</v>
          </cell>
          <cell r="AV26">
            <v>178</v>
          </cell>
          <cell r="AW26">
            <v>64</v>
          </cell>
          <cell r="AX26">
            <v>50</v>
          </cell>
          <cell r="AY26">
            <v>46</v>
          </cell>
          <cell r="AZ26">
            <v>69</v>
          </cell>
          <cell r="BA26">
            <v>0</v>
          </cell>
          <cell r="BB26">
            <v>21</v>
          </cell>
          <cell r="BC26">
            <v>0</v>
          </cell>
          <cell r="BD26">
            <v>11</v>
          </cell>
          <cell r="BE26">
            <v>31</v>
          </cell>
          <cell r="BF26">
            <v>24</v>
          </cell>
          <cell r="BG26">
            <v>290</v>
          </cell>
          <cell r="BH26">
            <v>17</v>
          </cell>
          <cell r="BI26">
            <v>42</v>
          </cell>
          <cell r="BJ26">
            <v>15</v>
          </cell>
          <cell r="BK26">
            <v>16</v>
          </cell>
          <cell r="BL26">
            <v>22</v>
          </cell>
          <cell r="BM26">
            <v>100</v>
          </cell>
          <cell r="BN26">
            <v>42</v>
          </cell>
          <cell r="BO26">
            <v>21</v>
          </cell>
          <cell r="BP26">
            <v>11</v>
          </cell>
          <cell r="BQ26">
            <v>33</v>
          </cell>
          <cell r="BR26">
            <v>23</v>
          </cell>
          <cell r="BS26">
            <v>25</v>
          </cell>
          <cell r="BT26">
            <v>32</v>
          </cell>
          <cell r="BU26">
            <v>33</v>
          </cell>
          <cell r="BV26">
            <v>24</v>
          </cell>
          <cell r="BW26">
            <v>55</v>
          </cell>
          <cell r="BX26">
            <v>35</v>
          </cell>
          <cell r="BY26">
            <v>35</v>
          </cell>
          <cell r="BZ26">
            <v>0</v>
          </cell>
          <cell r="CA26">
            <v>7</v>
          </cell>
          <cell r="CB26">
            <v>43</v>
          </cell>
          <cell r="CC26">
            <v>55</v>
          </cell>
          <cell r="CD26">
            <v>95</v>
          </cell>
          <cell r="CE26">
            <v>43</v>
          </cell>
          <cell r="CF26">
            <v>15</v>
          </cell>
          <cell r="CG26">
            <v>0</v>
          </cell>
          <cell r="CH26">
            <v>11</v>
          </cell>
          <cell r="CI26">
            <v>10</v>
          </cell>
          <cell r="CJ26">
            <v>0</v>
          </cell>
          <cell r="CK26">
            <v>7</v>
          </cell>
          <cell r="CL26">
            <v>83</v>
          </cell>
          <cell r="CM26">
            <v>0</v>
          </cell>
          <cell r="CN26">
            <v>25</v>
          </cell>
          <cell r="CO26">
            <v>78</v>
          </cell>
          <cell r="CP26">
            <v>32</v>
          </cell>
          <cell r="CQ26">
            <v>30</v>
          </cell>
          <cell r="CR26">
            <v>7</v>
          </cell>
          <cell r="CS26">
            <v>23</v>
          </cell>
          <cell r="CT26">
            <v>92</v>
          </cell>
          <cell r="CU26">
            <v>0</v>
          </cell>
          <cell r="CV26">
            <v>24</v>
          </cell>
          <cell r="CW26">
            <v>15</v>
          </cell>
          <cell r="CX26">
            <v>36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10</v>
          </cell>
          <cell r="DO26">
            <v>66</v>
          </cell>
          <cell r="DP26">
            <v>0</v>
          </cell>
          <cell r="DQ26">
            <v>0</v>
          </cell>
          <cell r="DR26">
            <v>25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80</v>
          </cell>
          <cell r="DZ26">
            <v>0</v>
          </cell>
          <cell r="EA26">
            <v>0</v>
          </cell>
          <cell r="EB26">
            <v>172</v>
          </cell>
          <cell r="EC26">
            <v>25</v>
          </cell>
          <cell r="ED26">
            <v>0</v>
          </cell>
          <cell r="EE26">
            <v>40</v>
          </cell>
          <cell r="EF26">
            <v>0</v>
          </cell>
          <cell r="EG26">
            <v>0</v>
          </cell>
          <cell r="EH26">
            <v>0</v>
          </cell>
          <cell r="EI26">
            <v>491</v>
          </cell>
          <cell r="EJ26">
            <v>319</v>
          </cell>
          <cell r="EK26">
            <v>0</v>
          </cell>
          <cell r="EL26">
            <v>0</v>
          </cell>
          <cell r="EM26">
            <v>0</v>
          </cell>
          <cell r="EN26">
            <v>72</v>
          </cell>
          <cell r="EO26">
            <v>290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18</v>
          </cell>
          <cell r="EZ26">
            <v>15</v>
          </cell>
          <cell r="FA26">
            <v>8</v>
          </cell>
          <cell r="FB26">
            <v>50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18</v>
          </cell>
          <cell r="FK26">
            <v>20</v>
          </cell>
          <cell r="FL26">
            <v>0</v>
          </cell>
          <cell r="FM26">
            <v>0</v>
          </cell>
          <cell r="FN26">
            <v>0</v>
          </cell>
        </row>
        <row r="27"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26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67</v>
          </cell>
          <cell r="M27">
            <v>84</v>
          </cell>
          <cell r="N27">
            <v>0</v>
          </cell>
          <cell r="O27">
            <v>0</v>
          </cell>
          <cell r="P27">
            <v>0</v>
          </cell>
          <cell r="Q27">
            <v>70</v>
          </cell>
          <cell r="R27">
            <v>0</v>
          </cell>
          <cell r="S27">
            <v>0</v>
          </cell>
          <cell r="T27">
            <v>191</v>
          </cell>
          <cell r="U27">
            <v>35</v>
          </cell>
          <cell r="V27">
            <v>0</v>
          </cell>
          <cell r="W27">
            <v>0</v>
          </cell>
          <cell r="X27">
            <v>200</v>
          </cell>
          <cell r="Y27">
            <v>0</v>
          </cell>
          <cell r="Z27">
            <v>173</v>
          </cell>
          <cell r="AA27">
            <v>0</v>
          </cell>
          <cell r="AB27">
            <v>0</v>
          </cell>
          <cell r="AC27">
            <v>0</v>
          </cell>
          <cell r="AD27">
            <v>150</v>
          </cell>
          <cell r="AE27">
            <v>0</v>
          </cell>
          <cell r="AF27">
            <v>0</v>
          </cell>
          <cell r="AG27">
            <v>43</v>
          </cell>
          <cell r="AH27">
            <v>184</v>
          </cell>
          <cell r="AI27">
            <v>220</v>
          </cell>
          <cell r="AJ27">
            <v>270</v>
          </cell>
          <cell r="AK27">
            <v>56</v>
          </cell>
          <cell r="AL27">
            <v>0</v>
          </cell>
          <cell r="AM27">
            <v>0</v>
          </cell>
          <cell r="AN27">
            <v>40</v>
          </cell>
          <cell r="AO27">
            <v>430</v>
          </cell>
          <cell r="AP27">
            <v>430</v>
          </cell>
          <cell r="AQ27">
            <v>371</v>
          </cell>
          <cell r="AR27">
            <v>73</v>
          </cell>
          <cell r="AS27">
            <v>0</v>
          </cell>
          <cell r="AT27">
            <v>69</v>
          </cell>
          <cell r="AU27">
            <v>50</v>
          </cell>
          <cell r="AV27">
            <v>182</v>
          </cell>
          <cell r="AW27">
            <v>56</v>
          </cell>
          <cell r="AX27">
            <v>50</v>
          </cell>
          <cell r="AY27">
            <v>47</v>
          </cell>
          <cell r="AZ27">
            <v>67</v>
          </cell>
          <cell r="BA27">
            <v>0</v>
          </cell>
          <cell r="BB27">
            <v>20</v>
          </cell>
          <cell r="BC27">
            <v>0</v>
          </cell>
          <cell r="BD27">
            <v>11</v>
          </cell>
          <cell r="BE27">
            <v>31</v>
          </cell>
          <cell r="BF27">
            <v>24</v>
          </cell>
          <cell r="BG27">
            <v>270</v>
          </cell>
          <cell r="BH27">
            <v>0</v>
          </cell>
          <cell r="BI27">
            <v>35</v>
          </cell>
          <cell r="BJ27">
            <v>15</v>
          </cell>
          <cell r="BK27">
            <v>16</v>
          </cell>
          <cell r="BL27">
            <v>22</v>
          </cell>
          <cell r="BM27">
            <v>94</v>
          </cell>
          <cell r="BN27">
            <v>42</v>
          </cell>
          <cell r="BO27">
            <v>21</v>
          </cell>
          <cell r="BP27">
            <v>11</v>
          </cell>
          <cell r="BQ27">
            <v>33</v>
          </cell>
          <cell r="BR27">
            <v>23</v>
          </cell>
          <cell r="BS27">
            <v>25</v>
          </cell>
          <cell r="BT27">
            <v>32</v>
          </cell>
          <cell r="BU27">
            <v>33</v>
          </cell>
          <cell r="BV27">
            <v>24</v>
          </cell>
          <cell r="BW27">
            <v>55</v>
          </cell>
          <cell r="BX27">
            <v>35</v>
          </cell>
          <cell r="BY27">
            <v>35</v>
          </cell>
          <cell r="BZ27">
            <v>0</v>
          </cell>
          <cell r="CA27">
            <v>7</v>
          </cell>
          <cell r="CB27">
            <v>43</v>
          </cell>
          <cell r="CC27">
            <v>30</v>
          </cell>
          <cell r="CD27">
            <v>95</v>
          </cell>
          <cell r="CE27">
            <v>43</v>
          </cell>
          <cell r="CF27">
            <v>15</v>
          </cell>
          <cell r="CG27">
            <v>0</v>
          </cell>
          <cell r="CH27">
            <v>11</v>
          </cell>
          <cell r="CI27">
            <v>0</v>
          </cell>
          <cell r="CJ27">
            <v>0</v>
          </cell>
          <cell r="CK27">
            <v>7</v>
          </cell>
          <cell r="CL27">
            <v>83</v>
          </cell>
          <cell r="CM27">
            <v>0</v>
          </cell>
          <cell r="CN27">
            <v>25</v>
          </cell>
          <cell r="CO27">
            <v>78</v>
          </cell>
          <cell r="CP27">
            <v>32</v>
          </cell>
          <cell r="CQ27">
            <v>30</v>
          </cell>
          <cell r="CR27">
            <v>0</v>
          </cell>
          <cell r="CS27">
            <v>23</v>
          </cell>
          <cell r="CT27">
            <v>92</v>
          </cell>
          <cell r="CU27">
            <v>0</v>
          </cell>
          <cell r="CV27">
            <v>0</v>
          </cell>
          <cell r="CW27">
            <v>0</v>
          </cell>
          <cell r="CX27">
            <v>18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10</v>
          </cell>
          <cell r="DO27">
            <v>32</v>
          </cell>
          <cell r="DP27">
            <v>0</v>
          </cell>
          <cell r="DQ27">
            <v>0</v>
          </cell>
          <cell r="DR27">
            <v>25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80</v>
          </cell>
          <cell r="DZ27">
            <v>0</v>
          </cell>
          <cell r="EA27">
            <v>0</v>
          </cell>
          <cell r="EB27">
            <v>166</v>
          </cell>
          <cell r="EC27">
            <v>24</v>
          </cell>
          <cell r="ED27">
            <v>0</v>
          </cell>
          <cell r="EE27">
            <v>40</v>
          </cell>
          <cell r="EF27">
            <v>0</v>
          </cell>
          <cell r="EG27">
            <v>0</v>
          </cell>
          <cell r="EH27">
            <v>0</v>
          </cell>
          <cell r="EI27">
            <v>491</v>
          </cell>
          <cell r="EJ27">
            <v>320</v>
          </cell>
          <cell r="EK27">
            <v>0</v>
          </cell>
          <cell r="EL27">
            <v>0</v>
          </cell>
          <cell r="EM27">
            <v>0</v>
          </cell>
          <cell r="EN27">
            <v>72</v>
          </cell>
          <cell r="EO27">
            <v>290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22</v>
          </cell>
          <cell r="EZ27">
            <v>15</v>
          </cell>
          <cell r="FA27">
            <v>8</v>
          </cell>
          <cell r="FB27">
            <v>24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20</v>
          </cell>
          <cell r="FL27">
            <v>0</v>
          </cell>
          <cell r="FM27">
            <v>0</v>
          </cell>
          <cell r="FN27">
            <v>0</v>
          </cell>
        </row>
        <row r="28">
          <cell r="B28">
            <v>75</v>
          </cell>
          <cell r="C28">
            <v>0</v>
          </cell>
          <cell r="D28">
            <v>0</v>
          </cell>
          <cell r="E28">
            <v>0</v>
          </cell>
          <cell r="F28">
            <v>26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67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47</v>
          </cell>
          <cell r="R28">
            <v>0</v>
          </cell>
          <cell r="S28">
            <v>0</v>
          </cell>
          <cell r="T28">
            <v>120</v>
          </cell>
          <cell r="U28">
            <v>35</v>
          </cell>
          <cell r="V28">
            <v>0</v>
          </cell>
          <cell r="W28">
            <v>0</v>
          </cell>
          <cell r="X28">
            <v>200</v>
          </cell>
          <cell r="Y28">
            <v>0</v>
          </cell>
          <cell r="Z28">
            <v>170</v>
          </cell>
          <cell r="AA28">
            <v>0</v>
          </cell>
          <cell r="AB28">
            <v>0</v>
          </cell>
          <cell r="AC28">
            <v>0</v>
          </cell>
          <cell r="AD28">
            <v>150</v>
          </cell>
          <cell r="AE28">
            <v>0</v>
          </cell>
          <cell r="AF28">
            <v>0</v>
          </cell>
          <cell r="AG28">
            <v>43</v>
          </cell>
          <cell r="AH28">
            <v>203</v>
          </cell>
          <cell r="AI28">
            <v>240</v>
          </cell>
          <cell r="AJ28">
            <v>270</v>
          </cell>
          <cell r="AK28">
            <v>5</v>
          </cell>
          <cell r="AL28">
            <v>0</v>
          </cell>
          <cell r="AM28">
            <v>0</v>
          </cell>
          <cell r="AN28">
            <v>40</v>
          </cell>
          <cell r="AO28">
            <v>430</v>
          </cell>
          <cell r="AP28">
            <v>430</v>
          </cell>
          <cell r="AQ28">
            <v>371</v>
          </cell>
          <cell r="AR28">
            <v>73</v>
          </cell>
          <cell r="AS28">
            <v>0</v>
          </cell>
          <cell r="AT28">
            <v>69</v>
          </cell>
          <cell r="AU28">
            <v>50</v>
          </cell>
          <cell r="AV28">
            <v>195</v>
          </cell>
          <cell r="AW28">
            <v>64</v>
          </cell>
          <cell r="AX28">
            <v>5</v>
          </cell>
          <cell r="AY28">
            <v>5</v>
          </cell>
          <cell r="AZ28">
            <v>68</v>
          </cell>
          <cell r="BA28">
            <v>0</v>
          </cell>
          <cell r="BB28">
            <v>5</v>
          </cell>
          <cell r="BC28">
            <v>0</v>
          </cell>
          <cell r="BD28">
            <v>11</v>
          </cell>
          <cell r="BE28">
            <v>5</v>
          </cell>
          <cell r="BF28">
            <v>24</v>
          </cell>
          <cell r="BG28">
            <v>270</v>
          </cell>
          <cell r="BH28">
            <v>0</v>
          </cell>
          <cell r="BI28">
            <v>42</v>
          </cell>
          <cell r="BJ28">
            <v>15</v>
          </cell>
          <cell r="BK28">
            <v>16</v>
          </cell>
          <cell r="BL28">
            <v>22</v>
          </cell>
          <cell r="BM28">
            <v>86</v>
          </cell>
          <cell r="BN28">
            <v>40</v>
          </cell>
          <cell r="BO28">
            <v>21</v>
          </cell>
          <cell r="BP28">
            <v>11</v>
          </cell>
          <cell r="BQ28">
            <v>33</v>
          </cell>
          <cell r="BR28">
            <v>23</v>
          </cell>
          <cell r="BS28">
            <v>25</v>
          </cell>
          <cell r="BT28">
            <v>33</v>
          </cell>
          <cell r="BU28">
            <v>33</v>
          </cell>
          <cell r="BV28">
            <v>24</v>
          </cell>
          <cell r="BW28">
            <v>55</v>
          </cell>
          <cell r="BX28">
            <v>35</v>
          </cell>
          <cell r="BY28">
            <v>35</v>
          </cell>
          <cell r="BZ28">
            <v>0</v>
          </cell>
          <cell r="CA28">
            <v>0</v>
          </cell>
          <cell r="CB28">
            <v>43</v>
          </cell>
          <cell r="CC28">
            <v>0</v>
          </cell>
          <cell r="CD28">
            <v>95</v>
          </cell>
          <cell r="CE28">
            <v>43</v>
          </cell>
          <cell r="CF28">
            <v>0</v>
          </cell>
          <cell r="CG28">
            <v>0</v>
          </cell>
          <cell r="CH28">
            <v>5</v>
          </cell>
          <cell r="CI28">
            <v>0</v>
          </cell>
          <cell r="CJ28">
            <v>0</v>
          </cell>
          <cell r="CK28">
            <v>0</v>
          </cell>
          <cell r="CL28">
            <v>40</v>
          </cell>
          <cell r="CM28">
            <v>0</v>
          </cell>
          <cell r="CN28">
            <v>5</v>
          </cell>
          <cell r="CO28">
            <v>78</v>
          </cell>
          <cell r="CP28">
            <v>2</v>
          </cell>
          <cell r="CQ28">
            <v>5</v>
          </cell>
          <cell r="CR28">
            <v>0</v>
          </cell>
          <cell r="CS28">
            <v>23</v>
          </cell>
          <cell r="CT28">
            <v>92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5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48</v>
          </cell>
          <cell r="DZ28">
            <v>0</v>
          </cell>
          <cell r="EA28">
            <v>0</v>
          </cell>
          <cell r="EB28">
            <v>173</v>
          </cell>
          <cell r="EC28">
            <v>25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491</v>
          </cell>
          <cell r="EJ28">
            <v>300</v>
          </cell>
          <cell r="EK28">
            <v>0</v>
          </cell>
          <cell r="EL28">
            <v>0</v>
          </cell>
          <cell r="EM28">
            <v>0</v>
          </cell>
          <cell r="EN28">
            <v>71</v>
          </cell>
          <cell r="EO28">
            <v>290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22</v>
          </cell>
          <cell r="EZ28">
            <v>15</v>
          </cell>
          <cell r="FA28">
            <v>8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4"/>
      <sheetName val="Sheet5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226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250</v>
          </cell>
          <cell r="U4">
            <v>80</v>
          </cell>
          <cell r="V4">
            <v>78</v>
          </cell>
          <cell r="Y4">
            <v>220</v>
          </cell>
          <cell r="Z4">
            <v>180</v>
          </cell>
          <cell r="AC4">
            <v>645</v>
          </cell>
          <cell r="AG4">
            <v>47</v>
          </cell>
          <cell r="AH4">
            <v>183</v>
          </cell>
          <cell r="AI4">
            <v>275</v>
          </cell>
          <cell r="AJ4">
            <v>310</v>
          </cell>
          <cell r="AK4">
            <v>230</v>
          </cell>
          <cell r="AL4">
            <v>29</v>
          </cell>
          <cell r="AM4">
            <v>45</v>
          </cell>
          <cell r="AP4">
            <v>350</v>
          </cell>
          <cell r="AQ4">
            <v>420</v>
          </cell>
          <cell r="AR4">
            <v>600</v>
          </cell>
          <cell r="AS4">
            <v>300</v>
          </cell>
          <cell r="AU4">
            <v>13</v>
          </cell>
          <cell r="AW4">
            <v>30</v>
          </cell>
          <cell r="AX4">
            <v>30</v>
          </cell>
          <cell r="AZ4">
            <v>59</v>
          </cell>
          <cell r="BA4">
            <v>5</v>
          </cell>
          <cell r="BD4">
            <v>207</v>
          </cell>
          <cell r="BE4">
            <v>17</v>
          </cell>
          <cell r="BG4">
            <v>10</v>
          </cell>
          <cell r="BH4">
            <v>2</v>
          </cell>
          <cell r="BI4">
            <v>53</v>
          </cell>
          <cell r="BJ4">
            <v>13</v>
          </cell>
          <cell r="BK4">
            <v>280</v>
          </cell>
          <cell r="BL4">
            <v>320</v>
          </cell>
          <cell r="BM4">
            <v>17</v>
          </cell>
          <cell r="BN4">
            <v>6</v>
          </cell>
          <cell r="BO4">
            <v>8</v>
          </cell>
          <cell r="BR4">
            <v>46</v>
          </cell>
          <cell r="BS4">
            <v>30</v>
          </cell>
          <cell r="BT4">
            <v>18</v>
          </cell>
          <cell r="BU4">
            <v>11</v>
          </cell>
          <cell r="BV4">
            <v>0</v>
          </cell>
          <cell r="BW4">
            <v>16</v>
          </cell>
          <cell r="BX4">
            <v>16</v>
          </cell>
          <cell r="BY4">
            <v>15</v>
          </cell>
          <cell r="BZ4">
            <v>17</v>
          </cell>
          <cell r="CA4">
            <v>26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278</v>
          </cell>
          <cell r="CT4">
            <v>17</v>
          </cell>
          <cell r="CU4">
            <v>17</v>
          </cell>
          <cell r="CX4">
            <v>70</v>
          </cell>
          <cell r="CY4">
            <v>5</v>
          </cell>
          <cell r="CZ4">
            <v>5</v>
          </cell>
          <cell r="DA4">
            <v>24</v>
          </cell>
          <cell r="DM4">
            <v>8</v>
          </cell>
          <cell r="DO4">
            <v>15</v>
          </cell>
          <cell r="DP4">
            <v>49</v>
          </cell>
          <cell r="DQ4">
            <v>89</v>
          </cell>
          <cell r="DR4">
            <v>6</v>
          </cell>
          <cell r="DS4">
            <v>375</v>
          </cell>
          <cell r="DT4">
            <v>18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24</v>
          </cell>
          <cell r="EE4">
            <v>591</v>
          </cell>
          <cell r="EF4">
            <v>750</v>
          </cell>
          <cell r="EG4">
            <v>8258</v>
          </cell>
          <cell r="EJ4">
            <v>4817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W4">
            <v>368</v>
          </cell>
          <cell r="EX4">
            <v>16</v>
          </cell>
          <cell r="EY4">
            <v>180</v>
          </cell>
          <cell r="EZ4">
            <v>260</v>
          </cell>
          <cell r="FA4">
            <v>55</v>
          </cell>
          <cell r="FB4">
            <v>130</v>
          </cell>
          <cell r="FC4">
            <v>150</v>
          </cell>
          <cell r="FD4">
            <v>10</v>
          </cell>
          <cell r="FE4">
            <v>40</v>
          </cell>
          <cell r="FF4">
            <v>140</v>
          </cell>
          <cell r="FG4">
            <v>7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917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226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250</v>
          </cell>
          <cell r="U5">
            <v>80</v>
          </cell>
          <cell r="V5">
            <v>78</v>
          </cell>
          <cell r="Y5">
            <v>220</v>
          </cell>
          <cell r="Z5">
            <v>180</v>
          </cell>
          <cell r="AC5">
            <v>600</v>
          </cell>
          <cell r="AG5">
            <v>46</v>
          </cell>
          <cell r="AH5">
            <v>183</v>
          </cell>
          <cell r="AI5">
            <v>230</v>
          </cell>
          <cell r="AJ5">
            <v>310</v>
          </cell>
          <cell r="AK5">
            <v>230</v>
          </cell>
          <cell r="AL5">
            <v>16</v>
          </cell>
          <cell r="AM5">
            <v>45</v>
          </cell>
          <cell r="AP5">
            <v>350</v>
          </cell>
          <cell r="AQ5">
            <v>400</v>
          </cell>
          <cell r="AR5">
            <v>598</v>
          </cell>
          <cell r="AS5">
            <v>300</v>
          </cell>
          <cell r="AU5">
            <v>13</v>
          </cell>
          <cell r="AW5">
            <v>30</v>
          </cell>
          <cell r="AX5">
            <v>30</v>
          </cell>
          <cell r="AZ5">
            <v>59</v>
          </cell>
          <cell r="BA5">
            <v>5</v>
          </cell>
          <cell r="BD5">
            <v>207</v>
          </cell>
          <cell r="BE5">
            <v>17</v>
          </cell>
          <cell r="BG5">
            <v>10</v>
          </cell>
          <cell r="BH5">
            <v>2</v>
          </cell>
          <cell r="BI5">
            <v>53</v>
          </cell>
          <cell r="BJ5">
            <v>13</v>
          </cell>
          <cell r="BK5">
            <v>290</v>
          </cell>
          <cell r="BL5">
            <v>320</v>
          </cell>
          <cell r="BM5">
            <v>17</v>
          </cell>
          <cell r="BN5">
            <v>12</v>
          </cell>
          <cell r="BO5">
            <v>0</v>
          </cell>
          <cell r="BR5">
            <v>42</v>
          </cell>
          <cell r="BS5">
            <v>39</v>
          </cell>
          <cell r="BT5">
            <v>18</v>
          </cell>
          <cell r="BU5">
            <v>11</v>
          </cell>
          <cell r="BV5">
            <v>32</v>
          </cell>
          <cell r="BW5">
            <v>16</v>
          </cell>
          <cell r="BX5">
            <v>14</v>
          </cell>
          <cell r="BY5">
            <v>15</v>
          </cell>
          <cell r="BZ5">
            <v>17</v>
          </cell>
          <cell r="CA5">
            <v>28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286</v>
          </cell>
          <cell r="CT5">
            <v>0</v>
          </cell>
          <cell r="CU5">
            <v>17</v>
          </cell>
          <cell r="CX5">
            <v>70</v>
          </cell>
          <cell r="CY5">
            <v>5</v>
          </cell>
          <cell r="CZ5">
            <v>5</v>
          </cell>
          <cell r="DA5">
            <v>24</v>
          </cell>
          <cell r="DM5">
            <v>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375</v>
          </cell>
          <cell r="DT5">
            <v>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30</v>
          </cell>
          <cell r="EE5">
            <v>531</v>
          </cell>
          <cell r="EF5">
            <v>756</v>
          </cell>
          <cell r="EG5">
            <v>8020</v>
          </cell>
          <cell r="EJ5">
            <v>4769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W5">
            <v>370</v>
          </cell>
          <cell r="EX5">
            <v>16</v>
          </cell>
          <cell r="EY5">
            <v>180</v>
          </cell>
          <cell r="EZ5">
            <v>231</v>
          </cell>
          <cell r="FA5">
            <v>55</v>
          </cell>
          <cell r="FB5">
            <v>126</v>
          </cell>
          <cell r="FC5">
            <v>150</v>
          </cell>
          <cell r="FD5">
            <v>10</v>
          </cell>
          <cell r="FE5">
            <v>40</v>
          </cell>
          <cell r="FF5">
            <v>140</v>
          </cell>
          <cell r="FG5">
            <v>6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730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187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250</v>
          </cell>
          <cell r="U6">
            <v>0</v>
          </cell>
          <cell r="V6">
            <v>78</v>
          </cell>
          <cell r="Y6">
            <v>220</v>
          </cell>
          <cell r="Z6">
            <v>180</v>
          </cell>
          <cell r="AC6">
            <v>602</v>
          </cell>
          <cell r="AG6">
            <v>46</v>
          </cell>
          <cell r="AH6">
            <v>183</v>
          </cell>
          <cell r="AI6">
            <v>230</v>
          </cell>
          <cell r="AJ6">
            <v>310</v>
          </cell>
          <cell r="AK6">
            <v>230</v>
          </cell>
          <cell r="AL6">
            <v>5</v>
          </cell>
          <cell r="AM6">
            <v>45</v>
          </cell>
          <cell r="AP6">
            <v>350</v>
          </cell>
          <cell r="AQ6">
            <v>350</v>
          </cell>
          <cell r="AR6">
            <v>597</v>
          </cell>
          <cell r="AS6">
            <v>300</v>
          </cell>
          <cell r="AU6">
            <v>13</v>
          </cell>
          <cell r="AW6">
            <v>30</v>
          </cell>
          <cell r="AX6">
            <v>30</v>
          </cell>
          <cell r="AZ6">
            <v>59</v>
          </cell>
          <cell r="BA6">
            <v>5</v>
          </cell>
          <cell r="BD6">
            <v>206</v>
          </cell>
          <cell r="BE6">
            <v>17</v>
          </cell>
          <cell r="BG6">
            <v>10</v>
          </cell>
          <cell r="BH6">
            <v>2</v>
          </cell>
          <cell r="BI6">
            <v>53</v>
          </cell>
          <cell r="BJ6">
            <v>13</v>
          </cell>
          <cell r="BK6">
            <v>285</v>
          </cell>
          <cell r="BL6">
            <v>320</v>
          </cell>
          <cell r="BM6">
            <v>17</v>
          </cell>
          <cell r="BN6">
            <v>12</v>
          </cell>
          <cell r="BO6">
            <v>7</v>
          </cell>
          <cell r="BR6">
            <v>44</v>
          </cell>
          <cell r="BS6">
            <v>39</v>
          </cell>
          <cell r="BT6">
            <v>18</v>
          </cell>
          <cell r="BU6">
            <v>11</v>
          </cell>
          <cell r="BV6">
            <v>29</v>
          </cell>
          <cell r="BW6">
            <v>16</v>
          </cell>
          <cell r="BX6">
            <v>14</v>
          </cell>
          <cell r="BY6">
            <v>15</v>
          </cell>
          <cell r="BZ6">
            <v>17</v>
          </cell>
          <cell r="CA6">
            <v>28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272</v>
          </cell>
          <cell r="CT6">
            <v>66</v>
          </cell>
          <cell r="CU6">
            <v>17</v>
          </cell>
          <cell r="CX6">
            <v>25</v>
          </cell>
          <cell r="CY6">
            <v>5</v>
          </cell>
          <cell r="CZ6">
            <v>5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322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35</v>
          </cell>
          <cell r="EE6">
            <v>529</v>
          </cell>
          <cell r="EF6">
            <v>758</v>
          </cell>
          <cell r="EG6">
            <v>7798</v>
          </cell>
          <cell r="EJ6">
            <v>4640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W6">
            <v>370</v>
          </cell>
          <cell r="EX6">
            <v>16</v>
          </cell>
          <cell r="EY6">
            <v>180</v>
          </cell>
          <cell r="EZ6">
            <v>150</v>
          </cell>
          <cell r="FA6">
            <v>55</v>
          </cell>
          <cell r="FB6">
            <v>128</v>
          </cell>
          <cell r="FC6">
            <v>150</v>
          </cell>
          <cell r="FD6">
            <v>10</v>
          </cell>
          <cell r="FE6">
            <v>40</v>
          </cell>
          <cell r="FF6">
            <v>100</v>
          </cell>
          <cell r="FG6">
            <v>6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730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187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250</v>
          </cell>
          <cell r="U7">
            <v>80</v>
          </cell>
          <cell r="V7">
            <v>78</v>
          </cell>
          <cell r="Y7">
            <v>220</v>
          </cell>
          <cell r="Z7">
            <v>180</v>
          </cell>
          <cell r="AC7">
            <v>601</v>
          </cell>
          <cell r="AG7">
            <v>10</v>
          </cell>
          <cell r="AH7">
            <v>183</v>
          </cell>
          <cell r="AI7">
            <v>280</v>
          </cell>
          <cell r="AJ7">
            <v>290</v>
          </cell>
          <cell r="AK7">
            <v>285</v>
          </cell>
          <cell r="AL7">
            <v>5</v>
          </cell>
          <cell r="AM7">
            <v>50</v>
          </cell>
          <cell r="AP7">
            <v>307</v>
          </cell>
          <cell r="AQ7">
            <v>350</v>
          </cell>
          <cell r="AR7">
            <v>598</v>
          </cell>
          <cell r="AS7">
            <v>300</v>
          </cell>
          <cell r="AU7">
            <v>13</v>
          </cell>
          <cell r="AW7">
            <v>30</v>
          </cell>
          <cell r="AX7">
            <v>30</v>
          </cell>
          <cell r="AZ7">
            <v>59</v>
          </cell>
          <cell r="BA7">
            <v>5</v>
          </cell>
          <cell r="BD7">
            <v>209</v>
          </cell>
          <cell r="BE7">
            <v>17</v>
          </cell>
          <cell r="BG7">
            <v>10</v>
          </cell>
          <cell r="BH7">
            <v>2</v>
          </cell>
          <cell r="BI7">
            <v>53</v>
          </cell>
          <cell r="BJ7">
            <v>13</v>
          </cell>
          <cell r="BK7">
            <v>300</v>
          </cell>
          <cell r="BL7">
            <v>320</v>
          </cell>
          <cell r="BM7">
            <v>17</v>
          </cell>
          <cell r="BN7">
            <v>12</v>
          </cell>
          <cell r="BO7">
            <v>7</v>
          </cell>
          <cell r="BR7">
            <v>46</v>
          </cell>
          <cell r="BS7">
            <v>39</v>
          </cell>
          <cell r="BT7">
            <v>18</v>
          </cell>
          <cell r="BU7">
            <v>11</v>
          </cell>
          <cell r="BV7">
            <v>26</v>
          </cell>
          <cell r="BW7">
            <v>15</v>
          </cell>
          <cell r="BX7">
            <v>11</v>
          </cell>
          <cell r="BY7">
            <v>15</v>
          </cell>
          <cell r="BZ7">
            <v>17</v>
          </cell>
          <cell r="CA7">
            <v>29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289</v>
          </cell>
          <cell r="CT7">
            <v>33</v>
          </cell>
          <cell r="CU7">
            <v>33</v>
          </cell>
          <cell r="CX7">
            <v>25</v>
          </cell>
          <cell r="CY7">
            <v>5</v>
          </cell>
          <cell r="CZ7">
            <v>5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323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41</v>
          </cell>
          <cell r="EE7">
            <v>531</v>
          </cell>
          <cell r="EF7">
            <v>753</v>
          </cell>
          <cell r="EG7">
            <v>7683</v>
          </cell>
          <cell r="EJ7">
            <v>4601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W7">
            <v>371</v>
          </cell>
          <cell r="EX7">
            <v>0</v>
          </cell>
          <cell r="EY7">
            <v>180</v>
          </cell>
          <cell r="EZ7">
            <v>150</v>
          </cell>
          <cell r="FA7">
            <v>55</v>
          </cell>
          <cell r="FB7">
            <v>80</v>
          </cell>
          <cell r="FC7">
            <v>150</v>
          </cell>
          <cell r="FD7">
            <v>10</v>
          </cell>
          <cell r="FE7">
            <v>40</v>
          </cell>
          <cell r="FF7">
            <v>100</v>
          </cell>
          <cell r="FG7">
            <v>6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730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187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250</v>
          </cell>
          <cell r="U8">
            <v>80</v>
          </cell>
          <cell r="V8">
            <v>78</v>
          </cell>
          <cell r="Y8">
            <v>220</v>
          </cell>
          <cell r="Z8">
            <v>180</v>
          </cell>
          <cell r="AC8">
            <v>601</v>
          </cell>
          <cell r="AG8">
            <v>10</v>
          </cell>
          <cell r="AH8">
            <v>183</v>
          </cell>
          <cell r="AI8">
            <v>265</v>
          </cell>
          <cell r="AJ8">
            <v>285</v>
          </cell>
          <cell r="AK8">
            <v>285</v>
          </cell>
          <cell r="AL8">
            <v>5</v>
          </cell>
          <cell r="AM8">
            <v>50</v>
          </cell>
          <cell r="AP8">
            <v>301</v>
          </cell>
          <cell r="AQ8">
            <v>350</v>
          </cell>
          <cell r="AR8">
            <v>600</v>
          </cell>
          <cell r="AS8">
            <v>300</v>
          </cell>
          <cell r="AU8">
            <v>22</v>
          </cell>
          <cell r="AV8">
            <v>0</v>
          </cell>
          <cell r="AW8">
            <v>30</v>
          </cell>
          <cell r="AX8">
            <v>30</v>
          </cell>
          <cell r="AZ8">
            <v>59</v>
          </cell>
          <cell r="BA8">
            <v>5</v>
          </cell>
          <cell r="BD8">
            <v>207</v>
          </cell>
          <cell r="BE8">
            <v>17</v>
          </cell>
          <cell r="BG8">
            <v>10</v>
          </cell>
          <cell r="BH8">
            <v>2</v>
          </cell>
          <cell r="BI8">
            <v>53</v>
          </cell>
          <cell r="BJ8">
            <v>13</v>
          </cell>
          <cell r="BK8">
            <v>285</v>
          </cell>
          <cell r="BL8">
            <v>320</v>
          </cell>
          <cell r="BM8">
            <v>17</v>
          </cell>
          <cell r="BN8">
            <v>12</v>
          </cell>
          <cell r="BO8">
            <v>7</v>
          </cell>
          <cell r="BR8">
            <v>40</v>
          </cell>
          <cell r="BS8">
            <v>41</v>
          </cell>
          <cell r="BT8">
            <v>18</v>
          </cell>
          <cell r="BU8">
            <v>11</v>
          </cell>
          <cell r="BV8">
            <v>20</v>
          </cell>
          <cell r="BW8">
            <v>11</v>
          </cell>
          <cell r="BX8">
            <v>11</v>
          </cell>
          <cell r="BY8">
            <v>15</v>
          </cell>
          <cell r="BZ8">
            <v>17</v>
          </cell>
          <cell r="CA8">
            <v>29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277</v>
          </cell>
          <cell r="CT8">
            <v>33</v>
          </cell>
          <cell r="CU8">
            <v>33</v>
          </cell>
          <cell r="CX8">
            <v>25</v>
          </cell>
          <cell r="CY8">
            <v>5</v>
          </cell>
          <cell r="CZ8">
            <v>5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323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41</v>
          </cell>
          <cell r="EE8">
            <v>0</v>
          </cell>
          <cell r="EF8">
            <v>752</v>
          </cell>
          <cell r="EG8">
            <v>7299</v>
          </cell>
          <cell r="EJ8">
            <v>4566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W8">
            <v>371</v>
          </cell>
          <cell r="EX8">
            <v>15</v>
          </cell>
          <cell r="EY8">
            <v>180</v>
          </cell>
          <cell r="EZ8">
            <v>150</v>
          </cell>
          <cell r="FA8">
            <v>55</v>
          </cell>
          <cell r="FB8">
            <v>80</v>
          </cell>
          <cell r="FC8">
            <v>150</v>
          </cell>
          <cell r="FD8">
            <v>10</v>
          </cell>
          <cell r="FE8">
            <v>40</v>
          </cell>
          <cell r="FF8">
            <v>100</v>
          </cell>
          <cell r="FG8">
            <v>6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730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225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250</v>
          </cell>
          <cell r="U9">
            <v>80</v>
          </cell>
          <cell r="V9">
            <v>128</v>
          </cell>
          <cell r="Y9">
            <v>142</v>
          </cell>
          <cell r="Z9">
            <v>180</v>
          </cell>
          <cell r="AC9">
            <v>604</v>
          </cell>
          <cell r="AG9">
            <v>44</v>
          </cell>
          <cell r="AH9">
            <v>183</v>
          </cell>
          <cell r="AI9">
            <v>265</v>
          </cell>
          <cell r="AJ9">
            <v>290</v>
          </cell>
          <cell r="AK9">
            <v>250</v>
          </cell>
          <cell r="AL9">
            <v>6</v>
          </cell>
          <cell r="AM9">
            <v>50</v>
          </cell>
          <cell r="AP9">
            <v>302</v>
          </cell>
          <cell r="AQ9">
            <v>350</v>
          </cell>
          <cell r="AR9">
            <v>300</v>
          </cell>
          <cell r="AS9">
            <v>300</v>
          </cell>
          <cell r="AU9">
            <v>22</v>
          </cell>
          <cell r="AV9">
            <v>2</v>
          </cell>
          <cell r="AW9">
            <v>30</v>
          </cell>
          <cell r="AX9">
            <v>30</v>
          </cell>
          <cell r="AZ9">
            <v>60</v>
          </cell>
          <cell r="BA9">
            <v>5</v>
          </cell>
          <cell r="BD9">
            <v>206</v>
          </cell>
          <cell r="BE9">
            <v>17</v>
          </cell>
          <cell r="BG9">
            <v>10</v>
          </cell>
          <cell r="BH9">
            <v>2</v>
          </cell>
          <cell r="BI9">
            <v>11</v>
          </cell>
          <cell r="BJ9">
            <v>13</v>
          </cell>
          <cell r="BK9">
            <v>295</v>
          </cell>
          <cell r="BL9">
            <v>320</v>
          </cell>
          <cell r="BM9">
            <v>17</v>
          </cell>
          <cell r="BN9">
            <v>1</v>
          </cell>
          <cell r="BO9">
            <v>7</v>
          </cell>
          <cell r="BR9">
            <v>46</v>
          </cell>
          <cell r="BS9">
            <v>41</v>
          </cell>
          <cell r="BT9">
            <v>18</v>
          </cell>
          <cell r="BU9">
            <v>11</v>
          </cell>
          <cell r="BV9">
            <v>22</v>
          </cell>
          <cell r="BW9">
            <v>11</v>
          </cell>
          <cell r="BX9">
            <v>11</v>
          </cell>
          <cell r="BY9">
            <v>15</v>
          </cell>
          <cell r="BZ9">
            <v>17</v>
          </cell>
          <cell r="CA9">
            <v>29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296</v>
          </cell>
          <cell r="CT9">
            <v>33</v>
          </cell>
          <cell r="CU9">
            <v>33</v>
          </cell>
          <cell r="CX9">
            <v>0</v>
          </cell>
          <cell r="CY9">
            <v>5</v>
          </cell>
          <cell r="CZ9">
            <v>5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366</v>
          </cell>
          <cell r="DT9">
            <v>4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25</v>
          </cell>
          <cell r="EE9">
            <v>4</v>
          </cell>
          <cell r="EF9">
            <v>753</v>
          </cell>
          <cell r="EG9">
            <v>6997</v>
          </cell>
          <cell r="EJ9">
            <v>4798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W9">
            <v>371</v>
          </cell>
          <cell r="EX9">
            <v>16</v>
          </cell>
          <cell r="EY9">
            <v>220</v>
          </cell>
          <cell r="EZ9">
            <v>150</v>
          </cell>
          <cell r="FA9">
            <v>55</v>
          </cell>
          <cell r="FB9">
            <v>80</v>
          </cell>
          <cell r="FC9">
            <v>150</v>
          </cell>
          <cell r="FD9">
            <v>9</v>
          </cell>
          <cell r="FF9">
            <v>140</v>
          </cell>
          <cell r="FG9">
            <v>6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730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1</v>
          </cell>
          <cell r="H10">
            <v>226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250</v>
          </cell>
          <cell r="U10">
            <v>80</v>
          </cell>
          <cell r="V10">
            <v>184</v>
          </cell>
          <cell r="Y10">
            <v>130</v>
          </cell>
          <cell r="Z10">
            <v>180</v>
          </cell>
          <cell r="AC10">
            <v>675</v>
          </cell>
          <cell r="AG10">
            <v>40</v>
          </cell>
          <cell r="AH10">
            <v>191</v>
          </cell>
          <cell r="AI10">
            <v>275</v>
          </cell>
          <cell r="AJ10">
            <v>315</v>
          </cell>
          <cell r="AK10">
            <v>250</v>
          </cell>
          <cell r="AL10">
            <v>18</v>
          </cell>
          <cell r="AM10">
            <v>50</v>
          </cell>
          <cell r="AP10">
            <v>351</v>
          </cell>
          <cell r="AQ10">
            <v>350</v>
          </cell>
          <cell r="AR10">
            <v>300</v>
          </cell>
          <cell r="AS10">
            <v>300</v>
          </cell>
          <cell r="AU10">
            <v>18</v>
          </cell>
          <cell r="AV10">
            <v>0</v>
          </cell>
          <cell r="AW10">
            <v>30</v>
          </cell>
          <cell r="AX10">
            <v>30</v>
          </cell>
          <cell r="AZ10">
            <v>60</v>
          </cell>
          <cell r="BA10">
            <v>82</v>
          </cell>
          <cell r="BD10">
            <v>206</v>
          </cell>
          <cell r="BE10">
            <v>17</v>
          </cell>
          <cell r="BG10">
            <v>10</v>
          </cell>
          <cell r="BH10">
            <v>2</v>
          </cell>
          <cell r="BI10">
            <v>11</v>
          </cell>
          <cell r="BJ10">
            <v>13</v>
          </cell>
          <cell r="BK10">
            <v>295</v>
          </cell>
          <cell r="BL10">
            <v>320</v>
          </cell>
          <cell r="BM10">
            <v>17</v>
          </cell>
          <cell r="BN10">
            <v>5</v>
          </cell>
          <cell r="BO10">
            <v>7</v>
          </cell>
          <cell r="BR10">
            <v>46</v>
          </cell>
          <cell r="BS10">
            <v>34</v>
          </cell>
          <cell r="BT10">
            <v>18</v>
          </cell>
          <cell r="BU10">
            <v>11</v>
          </cell>
          <cell r="BV10">
            <v>32</v>
          </cell>
          <cell r="BW10">
            <v>11</v>
          </cell>
          <cell r="BX10">
            <v>11</v>
          </cell>
          <cell r="BY10">
            <v>15</v>
          </cell>
          <cell r="BZ10">
            <v>17</v>
          </cell>
          <cell r="CA10">
            <v>29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8</v>
          </cell>
          <cell r="CL10">
            <v>0</v>
          </cell>
          <cell r="CM10">
            <v>1</v>
          </cell>
          <cell r="CN10">
            <v>17</v>
          </cell>
          <cell r="CO10">
            <v>14</v>
          </cell>
          <cell r="CR10">
            <v>8</v>
          </cell>
          <cell r="CS10">
            <v>308</v>
          </cell>
          <cell r="CT10">
            <v>33</v>
          </cell>
          <cell r="CU10">
            <v>16</v>
          </cell>
          <cell r="CX10">
            <v>17</v>
          </cell>
          <cell r="CY10">
            <v>35</v>
          </cell>
          <cell r="CZ10">
            <v>17</v>
          </cell>
          <cell r="DA10">
            <v>24</v>
          </cell>
          <cell r="DM10">
            <v>56</v>
          </cell>
          <cell r="DO10">
            <v>20</v>
          </cell>
          <cell r="DP10">
            <v>22</v>
          </cell>
          <cell r="DQ10">
            <v>51</v>
          </cell>
          <cell r="DR10">
            <v>6</v>
          </cell>
          <cell r="DS10">
            <v>367</v>
          </cell>
          <cell r="DT10">
            <v>19</v>
          </cell>
          <cell r="DU10">
            <v>15</v>
          </cell>
          <cell r="DV10">
            <v>24</v>
          </cell>
          <cell r="DW10">
            <v>17</v>
          </cell>
          <cell r="DX10">
            <v>17</v>
          </cell>
          <cell r="DY10">
            <v>1</v>
          </cell>
          <cell r="DZ10">
            <v>17</v>
          </cell>
          <cell r="EA10">
            <v>0</v>
          </cell>
          <cell r="EB10">
            <v>17</v>
          </cell>
          <cell r="ED10">
            <v>36</v>
          </cell>
          <cell r="EE10">
            <v>2</v>
          </cell>
          <cell r="EF10">
            <v>853</v>
          </cell>
          <cell r="EG10">
            <v>6763</v>
          </cell>
          <cell r="EJ10">
            <v>5343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</v>
          </cell>
          <cell r="EW10">
            <v>371</v>
          </cell>
          <cell r="EX10">
            <v>16</v>
          </cell>
          <cell r="EY10">
            <v>220</v>
          </cell>
          <cell r="EZ10">
            <v>150</v>
          </cell>
          <cell r="FA10">
            <v>55</v>
          </cell>
          <cell r="FB10">
            <v>80</v>
          </cell>
          <cell r="FC10">
            <v>192</v>
          </cell>
          <cell r="FD10">
            <v>0</v>
          </cell>
          <cell r="FF10">
            <v>140</v>
          </cell>
          <cell r="FG10">
            <v>6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824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6</v>
          </cell>
          <cell r="H11">
            <v>226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250</v>
          </cell>
          <cell r="U11">
            <v>80</v>
          </cell>
          <cell r="V11">
            <v>185</v>
          </cell>
          <cell r="Y11">
            <v>130</v>
          </cell>
          <cell r="Z11">
            <v>180</v>
          </cell>
          <cell r="AC11">
            <v>747</v>
          </cell>
          <cell r="AG11">
            <v>44</v>
          </cell>
          <cell r="AH11">
            <v>182</v>
          </cell>
          <cell r="AI11">
            <v>240</v>
          </cell>
          <cell r="AJ11">
            <v>335</v>
          </cell>
          <cell r="AK11">
            <v>230</v>
          </cell>
          <cell r="AL11">
            <v>29</v>
          </cell>
          <cell r="AM11">
            <v>50</v>
          </cell>
          <cell r="AP11">
            <v>353</v>
          </cell>
          <cell r="AQ11">
            <v>350</v>
          </cell>
          <cell r="AR11">
            <v>300</v>
          </cell>
          <cell r="AS11">
            <v>300</v>
          </cell>
          <cell r="AU11">
            <v>11</v>
          </cell>
          <cell r="AV11">
            <v>8</v>
          </cell>
          <cell r="AW11">
            <v>30</v>
          </cell>
          <cell r="AX11">
            <v>30</v>
          </cell>
          <cell r="AZ11">
            <v>40</v>
          </cell>
          <cell r="BA11">
            <v>85</v>
          </cell>
          <cell r="BD11">
            <v>206</v>
          </cell>
          <cell r="BE11">
            <v>17</v>
          </cell>
          <cell r="BG11">
            <v>10</v>
          </cell>
          <cell r="BH11">
            <v>2</v>
          </cell>
          <cell r="BI11">
            <v>11</v>
          </cell>
          <cell r="BJ11">
            <v>13</v>
          </cell>
          <cell r="BK11">
            <v>280</v>
          </cell>
          <cell r="BL11">
            <v>320</v>
          </cell>
          <cell r="BM11">
            <v>10</v>
          </cell>
          <cell r="BN11">
            <v>24</v>
          </cell>
          <cell r="BO11">
            <v>7</v>
          </cell>
          <cell r="BR11">
            <v>46</v>
          </cell>
          <cell r="BS11">
            <v>10</v>
          </cell>
          <cell r="BT11">
            <v>18</v>
          </cell>
          <cell r="BU11">
            <v>8</v>
          </cell>
          <cell r="BV11">
            <v>32</v>
          </cell>
          <cell r="BW11">
            <v>15</v>
          </cell>
          <cell r="BX11">
            <v>16</v>
          </cell>
          <cell r="BY11">
            <v>15</v>
          </cell>
          <cell r="BZ11">
            <v>17</v>
          </cell>
          <cell r="CA11">
            <v>28</v>
          </cell>
          <cell r="CB11">
            <v>52</v>
          </cell>
          <cell r="CC11">
            <v>52</v>
          </cell>
          <cell r="CD11">
            <v>5</v>
          </cell>
          <cell r="CE11">
            <v>17</v>
          </cell>
          <cell r="CF11">
            <v>17</v>
          </cell>
          <cell r="CG11">
            <v>17</v>
          </cell>
          <cell r="CH11">
            <v>16</v>
          </cell>
          <cell r="CJ11">
            <v>8</v>
          </cell>
          <cell r="CK11">
            <v>35</v>
          </cell>
          <cell r="CL11">
            <v>1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258</v>
          </cell>
          <cell r="CT11">
            <v>34</v>
          </cell>
          <cell r="CU11">
            <v>17</v>
          </cell>
          <cell r="CX11">
            <v>25</v>
          </cell>
          <cell r="CY11">
            <v>43</v>
          </cell>
          <cell r="CZ11">
            <v>51</v>
          </cell>
          <cell r="DA11">
            <v>24</v>
          </cell>
          <cell r="DM11">
            <v>56</v>
          </cell>
          <cell r="DO11">
            <v>42</v>
          </cell>
          <cell r="DP11">
            <v>22</v>
          </cell>
          <cell r="DQ11">
            <v>51</v>
          </cell>
          <cell r="DR11">
            <v>6</v>
          </cell>
          <cell r="DS11">
            <v>367</v>
          </cell>
          <cell r="DT11">
            <v>19</v>
          </cell>
          <cell r="DU11">
            <v>15</v>
          </cell>
          <cell r="DV11">
            <v>24</v>
          </cell>
          <cell r="DW11">
            <v>11</v>
          </cell>
          <cell r="DX11">
            <v>17</v>
          </cell>
          <cell r="DY11">
            <v>7</v>
          </cell>
          <cell r="DZ11">
            <v>17</v>
          </cell>
          <cell r="EA11">
            <v>17</v>
          </cell>
          <cell r="EB11">
            <v>17</v>
          </cell>
          <cell r="ED11">
            <v>25</v>
          </cell>
          <cell r="EE11">
            <v>17</v>
          </cell>
          <cell r="EF11">
            <v>950</v>
          </cell>
          <cell r="EG11">
            <v>6780</v>
          </cell>
          <cell r="EJ11">
            <v>5595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19</v>
          </cell>
          <cell r="EW11">
            <v>370</v>
          </cell>
          <cell r="EX11">
            <v>16</v>
          </cell>
          <cell r="EY11">
            <v>220</v>
          </cell>
          <cell r="EZ11">
            <v>150</v>
          </cell>
          <cell r="FA11">
            <v>55</v>
          </cell>
          <cell r="FB11">
            <v>80</v>
          </cell>
          <cell r="FC11">
            <v>200</v>
          </cell>
          <cell r="FD11">
            <v>0</v>
          </cell>
          <cell r="FF11">
            <v>140</v>
          </cell>
          <cell r="FG11">
            <v>4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919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12</v>
          </cell>
          <cell r="H12">
            <v>226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250</v>
          </cell>
          <cell r="U12">
            <v>80</v>
          </cell>
          <cell r="V12">
            <v>195</v>
          </cell>
          <cell r="Y12">
            <v>130</v>
          </cell>
          <cell r="Z12">
            <v>180</v>
          </cell>
          <cell r="AC12">
            <v>800</v>
          </cell>
          <cell r="AG12">
            <v>47</v>
          </cell>
          <cell r="AH12">
            <v>182</v>
          </cell>
          <cell r="AI12">
            <v>240</v>
          </cell>
          <cell r="AJ12">
            <v>280</v>
          </cell>
          <cell r="AK12">
            <v>230</v>
          </cell>
          <cell r="AL12">
            <v>29</v>
          </cell>
          <cell r="AM12">
            <v>50</v>
          </cell>
          <cell r="AP12">
            <v>353</v>
          </cell>
          <cell r="AQ12">
            <v>350</v>
          </cell>
          <cell r="AR12">
            <v>290</v>
          </cell>
          <cell r="AS12">
            <v>300</v>
          </cell>
          <cell r="AU12">
            <v>5</v>
          </cell>
          <cell r="AV12">
            <v>0</v>
          </cell>
          <cell r="AW12">
            <v>30</v>
          </cell>
          <cell r="AX12">
            <v>29</v>
          </cell>
          <cell r="AZ12">
            <v>40</v>
          </cell>
          <cell r="BA12">
            <v>85</v>
          </cell>
          <cell r="BD12">
            <v>206</v>
          </cell>
          <cell r="BE12">
            <v>17</v>
          </cell>
          <cell r="BG12">
            <v>10</v>
          </cell>
          <cell r="BH12">
            <v>2</v>
          </cell>
          <cell r="BI12">
            <v>11</v>
          </cell>
          <cell r="BJ12">
            <v>13</v>
          </cell>
          <cell r="BK12">
            <v>270</v>
          </cell>
          <cell r="BL12">
            <v>320</v>
          </cell>
          <cell r="BM12">
            <v>17</v>
          </cell>
          <cell r="BN12">
            <v>0</v>
          </cell>
          <cell r="BO12">
            <v>7</v>
          </cell>
          <cell r="BR12">
            <v>44</v>
          </cell>
          <cell r="BS12">
            <v>2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16</v>
          </cell>
          <cell r="BY12">
            <v>5</v>
          </cell>
          <cell r="BZ12">
            <v>25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26</v>
          </cell>
          <cell r="CH12">
            <v>32</v>
          </cell>
          <cell r="CJ12">
            <v>8</v>
          </cell>
          <cell r="CK12">
            <v>70</v>
          </cell>
          <cell r="CL12">
            <v>2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275</v>
          </cell>
          <cell r="CT12">
            <v>33</v>
          </cell>
          <cell r="CU12">
            <v>17</v>
          </cell>
          <cell r="CX12">
            <v>68</v>
          </cell>
          <cell r="CY12">
            <v>37</v>
          </cell>
          <cell r="CZ12">
            <v>51</v>
          </cell>
          <cell r="DA12">
            <v>24</v>
          </cell>
          <cell r="DM12">
            <v>58</v>
          </cell>
          <cell r="DO12">
            <v>68</v>
          </cell>
          <cell r="DP12">
            <v>22</v>
          </cell>
          <cell r="DQ12">
            <v>51</v>
          </cell>
          <cell r="DR12">
            <v>6</v>
          </cell>
          <cell r="DS12">
            <v>270</v>
          </cell>
          <cell r="DT12">
            <v>35</v>
          </cell>
          <cell r="DU12">
            <v>15</v>
          </cell>
          <cell r="DV12">
            <v>24</v>
          </cell>
          <cell r="DW12">
            <v>17</v>
          </cell>
          <cell r="DX12">
            <v>19</v>
          </cell>
          <cell r="DY12">
            <v>15</v>
          </cell>
          <cell r="DZ12">
            <v>17</v>
          </cell>
          <cell r="EA12">
            <v>17</v>
          </cell>
          <cell r="EB12">
            <v>17</v>
          </cell>
          <cell r="ED12">
            <v>10</v>
          </cell>
          <cell r="EE12">
            <v>36</v>
          </cell>
          <cell r="EF12">
            <v>950</v>
          </cell>
          <cell r="EG12">
            <v>6929</v>
          </cell>
          <cell r="EJ12">
            <v>5503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42</v>
          </cell>
          <cell r="EW12">
            <v>370</v>
          </cell>
          <cell r="EY12">
            <v>180</v>
          </cell>
          <cell r="EZ12">
            <v>150</v>
          </cell>
          <cell r="FA12">
            <v>55</v>
          </cell>
          <cell r="FB12">
            <v>80</v>
          </cell>
          <cell r="FC12">
            <v>200</v>
          </cell>
          <cell r="FD12">
            <v>0</v>
          </cell>
          <cell r="FF12">
            <v>100</v>
          </cell>
          <cell r="FG12">
            <v>4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919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229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250</v>
          </cell>
          <cell r="U13">
            <v>168</v>
          </cell>
          <cell r="V13">
            <v>148</v>
          </cell>
          <cell r="Y13">
            <v>130</v>
          </cell>
          <cell r="Z13">
            <v>180</v>
          </cell>
          <cell r="AC13">
            <v>800</v>
          </cell>
          <cell r="AG13">
            <v>44</v>
          </cell>
          <cell r="AH13">
            <v>182</v>
          </cell>
          <cell r="AI13">
            <v>240</v>
          </cell>
          <cell r="AJ13">
            <v>300</v>
          </cell>
          <cell r="AK13">
            <v>230</v>
          </cell>
          <cell r="AL13">
            <v>29</v>
          </cell>
          <cell r="AM13">
            <v>45</v>
          </cell>
          <cell r="AP13">
            <v>354</v>
          </cell>
          <cell r="AQ13">
            <v>350</v>
          </cell>
          <cell r="AR13">
            <v>280</v>
          </cell>
          <cell r="AS13">
            <v>300</v>
          </cell>
          <cell r="AU13">
            <v>5</v>
          </cell>
          <cell r="AV13">
            <v>31</v>
          </cell>
          <cell r="AW13">
            <v>30</v>
          </cell>
          <cell r="AX13">
            <v>29</v>
          </cell>
          <cell r="AZ13">
            <v>40</v>
          </cell>
          <cell r="BA13">
            <v>50</v>
          </cell>
          <cell r="BD13">
            <v>207</v>
          </cell>
          <cell r="BE13">
            <v>17</v>
          </cell>
          <cell r="BG13">
            <v>10</v>
          </cell>
          <cell r="BH13">
            <v>2</v>
          </cell>
          <cell r="BI13">
            <v>11</v>
          </cell>
          <cell r="BJ13">
            <v>13</v>
          </cell>
          <cell r="BK13">
            <v>275</v>
          </cell>
          <cell r="BL13">
            <v>320</v>
          </cell>
          <cell r="BM13">
            <v>17</v>
          </cell>
          <cell r="BN13">
            <v>16</v>
          </cell>
          <cell r="BO13">
            <v>8</v>
          </cell>
          <cell r="BR13">
            <v>50</v>
          </cell>
          <cell r="BS13">
            <v>2</v>
          </cell>
          <cell r="BT13">
            <v>18</v>
          </cell>
          <cell r="BU13">
            <v>8</v>
          </cell>
          <cell r="BV13">
            <v>32</v>
          </cell>
          <cell r="BW13">
            <v>17</v>
          </cell>
          <cell r="BX13">
            <v>16</v>
          </cell>
          <cell r="BY13">
            <v>15</v>
          </cell>
          <cell r="BZ13">
            <v>25</v>
          </cell>
          <cell r="CA13">
            <v>26</v>
          </cell>
          <cell r="CB13">
            <v>52</v>
          </cell>
          <cell r="CC13">
            <v>52</v>
          </cell>
          <cell r="CD13">
            <v>9</v>
          </cell>
          <cell r="CE13">
            <v>17</v>
          </cell>
          <cell r="CF13">
            <v>42</v>
          </cell>
          <cell r="CG13">
            <v>26</v>
          </cell>
          <cell r="CH13">
            <v>32</v>
          </cell>
          <cell r="CJ13">
            <v>8</v>
          </cell>
          <cell r="CK13">
            <v>70</v>
          </cell>
          <cell r="CL13">
            <v>3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278</v>
          </cell>
          <cell r="CT13">
            <v>3</v>
          </cell>
          <cell r="CU13">
            <v>17</v>
          </cell>
          <cell r="CX13">
            <v>68</v>
          </cell>
          <cell r="CY13">
            <v>43</v>
          </cell>
          <cell r="CZ13">
            <v>51</v>
          </cell>
          <cell r="DA13">
            <v>40</v>
          </cell>
          <cell r="DM13">
            <v>56</v>
          </cell>
          <cell r="DO13">
            <v>68</v>
          </cell>
          <cell r="DP13">
            <v>22</v>
          </cell>
          <cell r="DQ13">
            <v>57</v>
          </cell>
          <cell r="DR13">
            <v>5</v>
          </cell>
          <cell r="DS13">
            <v>304</v>
          </cell>
          <cell r="DT13">
            <v>19</v>
          </cell>
          <cell r="DU13">
            <v>15</v>
          </cell>
          <cell r="DV13">
            <v>25</v>
          </cell>
          <cell r="DW13">
            <v>17</v>
          </cell>
          <cell r="DX13">
            <v>1</v>
          </cell>
          <cell r="DY13">
            <v>22</v>
          </cell>
          <cell r="DZ13">
            <v>20</v>
          </cell>
          <cell r="EA13">
            <v>17</v>
          </cell>
          <cell r="EB13">
            <v>17</v>
          </cell>
          <cell r="ED13">
            <v>4</v>
          </cell>
          <cell r="EE13">
            <v>52</v>
          </cell>
          <cell r="EF13">
            <v>1012</v>
          </cell>
          <cell r="EG13">
            <v>7107</v>
          </cell>
          <cell r="EH13">
            <v>16</v>
          </cell>
          <cell r="EJ13">
            <v>5676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63</v>
          </cell>
          <cell r="EW13">
            <v>369</v>
          </cell>
          <cell r="EY13">
            <v>180</v>
          </cell>
          <cell r="EZ13">
            <v>150</v>
          </cell>
          <cell r="FA13">
            <v>55</v>
          </cell>
          <cell r="FB13">
            <v>80</v>
          </cell>
          <cell r="FC13">
            <v>150</v>
          </cell>
          <cell r="FD13">
            <v>0</v>
          </cell>
          <cell r="FF13">
            <v>100</v>
          </cell>
          <cell r="FG13">
            <v>4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919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19</v>
          </cell>
          <cell r="H14">
            <v>228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250</v>
          </cell>
          <cell r="U14">
            <v>210</v>
          </cell>
          <cell r="V14">
            <v>88</v>
          </cell>
          <cell r="Y14">
            <v>150</v>
          </cell>
          <cell r="Z14">
            <v>180</v>
          </cell>
          <cell r="AC14">
            <v>800</v>
          </cell>
          <cell r="AG14">
            <v>39</v>
          </cell>
          <cell r="AH14">
            <v>183</v>
          </cell>
          <cell r="AI14">
            <v>290</v>
          </cell>
          <cell r="AJ14">
            <v>320</v>
          </cell>
          <cell r="AK14">
            <v>250</v>
          </cell>
          <cell r="AL14">
            <v>29</v>
          </cell>
          <cell r="AM14">
            <v>45</v>
          </cell>
          <cell r="AP14">
            <v>354</v>
          </cell>
          <cell r="AQ14">
            <v>300</v>
          </cell>
          <cell r="AR14">
            <v>280</v>
          </cell>
          <cell r="AS14">
            <v>300</v>
          </cell>
          <cell r="AU14">
            <v>5</v>
          </cell>
          <cell r="AV14">
            <v>37</v>
          </cell>
          <cell r="AW14">
            <v>30</v>
          </cell>
          <cell r="AX14">
            <v>28</v>
          </cell>
          <cell r="AZ14">
            <v>57</v>
          </cell>
          <cell r="BA14">
            <v>50</v>
          </cell>
          <cell r="BD14">
            <v>209</v>
          </cell>
          <cell r="BE14">
            <v>15</v>
          </cell>
          <cell r="BG14">
            <v>10</v>
          </cell>
          <cell r="BH14">
            <v>2</v>
          </cell>
          <cell r="BI14">
            <v>50</v>
          </cell>
          <cell r="BJ14">
            <v>13</v>
          </cell>
          <cell r="BK14">
            <v>275</v>
          </cell>
          <cell r="BL14">
            <v>320</v>
          </cell>
          <cell r="BN14">
            <v>24</v>
          </cell>
          <cell r="BO14">
            <v>5</v>
          </cell>
          <cell r="BR14">
            <v>55</v>
          </cell>
          <cell r="BS14">
            <v>2</v>
          </cell>
          <cell r="BT14">
            <v>18</v>
          </cell>
          <cell r="BU14">
            <v>8</v>
          </cell>
          <cell r="BV14">
            <v>16</v>
          </cell>
          <cell r="BW14">
            <v>14</v>
          </cell>
          <cell r="BX14">
            <v>16</v>
          </cell>
          <cell r="BY14">
            <v>15</v>
          </cell>
          <cell r="BZ14">
            <v>25</v>
          </cell>
          <cell r="CA14">
            <v>26</v>
          </cell>
          <cell r="CB14">
            <v>79</v>
          </cell>
          <cell r="CC14">
            <v>34</v>
          </cell>
          <cell r="CD14">
            <v>23</v>
          </cell>
          <cell r="CE14">
            <v>30</v>
          </cell>
          <cell r="CF14">
            <v>9</v>
          </cell>
          <cell r="CG14">
            <v>26</v>
          </cell>
          <cell r="CH14">
            <v>16</v>
          </cell>
          <cell r="CJ14">
            <v>25</v>
          </cell>
          <cell r="CK14">
            <v>70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306</v>
          </cell>
          <cell r="CT14">
            <v>33</v>
          </cell>
          <cell r="CU14">
            <v>17</v>
          </cell>
          <cell r="CX14">
            <v>25</v>
          </cell>
          <cell r="CY14">
            <v>40</v>
          </cell>
          <cell r="CZ14">
            <v>51</v>
          </cell>
          <cell r="DA14">
            <v>49</v>
          </cell>
          <cell r="DM14">
            <v>56</v>
          </cell>
          <cell r="DO14">
            <v>56</v>
          </cell>
          <cell r="DP14">
            <v>12</v>
          </cell>
          <cell r="DQ14">
            <v>8</v>
          </cell>
          <cell r="DR14">
            <v>6</v>
          </cell>
          <cell r="DS14">
            <v>304</v>
          </cell>
          <cell r="DT14">
            <v>19</v>
          </cell>
          <cell r="DU14">
            <v>16</v>
          </cell>
          <cell r="DV14">
            <v>12</v>
          </cell>
          <cell r="DW14">
            <v>17</v>
          </cell>
          <cell r="DX14">
            <v>17</v>
          </cell>
          <cell r="DY14">
            <v>27</v>
          </cell>
          <cell r="DZ14">
            <v>1</v>
          </cell>
          <cell r="EA14">
            <v>14</v>
          </cell>
          <cell r="EB14">
            <v>17</v>
          </cell>
          <cell r="ED14">
            <v>4</v>
          </cell>
          <cell r="EE14">
            <v>59</v>
          </cell>
          <cell r="EF14">
            <v>1011</v>
          </cell>
          <cell r="EG14">
            <v>0</v>
          </cell>
          <cell r="EH14">
            <v>17</v>
          </cell>
          <cell r="EJ14">
            <v>5668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75</v>
          </cell>
          <cell r="EW14">
            <v>368</v>
          </cell>
          <cell r="EY14">
            <v>180</v>
          </cell>
          <cell r="EZ14">
            <v>200</v>
          </cell>
          <cell r="FA14">
            <v>55</v>
          </cell>
          <cell r="FB14">
            <v>130</v>
          </cell>
          <cell r="FC14">
            <v>150</v>
          </cell>
          <cell r="FD14">
            <v>0</v>
          </cell>
          <cell r="FF14">
            <v>100</v>
          </cell>
          <cell r="FG14">
            <v>4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919</v>
          </cell>
          <cell r="FN14">
            <v>170</v>
          </cell>
        </row>
        <row r="15">
          <cell r="B15">
            <v>30</v>
          </cell>
          <cell r="C15">
            <v>40</v>
          </cell>
          <cell r="F15">
            <v>8</v>
          </cell>
          <cell r="G15">
            <v>20</v>
          </cell>
          <cell r="H15">
            <v>226</v>
          </cell>
          <cell r="N15">
            <v>24</v>
          </cell>
          <cell r="O15">
            <v>17</v>
          </cell>
          <cell r="Q15">
            <v>32</v>
          </cell>
          <cell r="T15">
            <v>250</v>
          </cell>
          <cell r="U15">
            <v>15</v>
          </cell>
          <cell r="V15">
            <v>133</v>
          </cell>
          <cell r="Z15">
            <v>180</v>
          </cell>
          <cell r="AC15">
            <v>780</v>
          </cell>
          <cell r="AG15">
            <v>42</v>
          </cell>
          <cell r="AH15">
            <v>183</v>
          </cell>
          <cell r="AJ15">
            <v>280</v>
          </cell>
          <cell r="AK15">
            <v>395</v>
          </cell>
          <cell r="AL15">
            <v>29</v>
          </cell>
          <cell r="AM15">
            <v>40</v>
          </cell>
          <cell r="AP15">
            <v>373</v>
          </cell>
          <cell r="AR15">
            <v>280</v>
          </cell>
          <cell r="AS15">
            <v>300</v>
          </cell>
          <cell r="AU15">
            <v>5</v>
          </cell>
          <cell r="AV15">
            <v>40</v>
          </cell>
          <cell r="AW15">
            <v>30</v>
          </cell>
          <cell r="AX15">
            <v>30</v>
          </cell>
          <cell r="AZ15">
            <v>61</v>
          </cell>
          <cell r="BA15">
            <v>85</v>
          </cell>
          <cell r="BD15">
            <v>209</v>
          </cell>
          <cell r="BG15">
            <v>10</v>
          </cell>
          <cell r="BH15">
            <v>2</v>
          </cell>
          <cell r="BI15">
            <v>50</v>
          </cell>
          <cell r="BJ15">
            <v>13</v>
          </cell>
          <cell r="BK15">
            <v>285</v>
          </cell>
          <cell r="BL15">
            <v>392</v>
          </cell>
          <cell r="BN15">
            <v>24</v>
          </cell>
          <cell r="BO15">
            <v>12</v>
          </cell>
          <cell r="BR15">
            <v>59</v>
          </cell>
          <cell r="BS15">
            <v>2</v>
          </cell>
          <cell r="BT15">
            <v>18</v>
          </cell>
          <cell r="BU15">
            <v>8</v>
          </cell>
          <cell r="BV15">
            <v>33</v>
          </cell>
          <cell r="BW15">
            <v>17</v>
          </cell>
          <cell r="BX15">
            <v>16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5</v>
          </cell>
          <cell r="CE15">
            <v>50</v>
          </cell>
          <cell r="CF15">
            <v>3</v>
          </cell>
          <cell r="CG15">
            <v>26</v>
          </cell>
          <cell r="CH15">
            <v>16</v>
          </cell>
          <cell r="CJ15">
            <v>22</v>
          </cell>
          <cell r="CK15">
            <v>70</v>
          </cell>
          <cell r="CL15">
            <v>4</v>
          </cell>
          <cell r="CM15">
            <v>17</v>
          </cell>
          <cell r="CN15">
            <v>17</v>
          </cell>
          <cell r="CO15">
            <v>4</v>
          </cell>
          <cell r="CS15">
            <v>255</v>
          </cell>
          <cell r="CU15">
            <v>4</v>
          </cell>
          <cell r="CX15">
            <v>10</v>
          </cell>
          <cell r="CY15">
            <v>43</v>
          </cell>
          <cell r="CZ15">
            <v>51</v>
          </cell>
          <cell r="DA15">
            <v>8</v>
          </cell>
          <cell r="DM15">
            <v>59</v>
          </cell>
          <cell r="DO15">
            <v>32</v>
          </cell>
          <cell r="DP15">
            <v>12</v>
          </cell>
          <cell r="DQ15">
            <v>5</v>
          </cell>
          <cell r="DR15">
            <v>13</v>
          </cell>
          <cell r="DS15">
            <v>365</v>
          </cell>
          <cell r="DT15">
            <v>19</v>
          </cell>
          <cell r="DU15">
            <v>90</v>
          </cell>
          <cell r="DV15">
            <v>12</v>
          </cell>
          <cell r="DW15">
            <v>17</v>
          </cell>
          <cell r="DX15">
            <v>17</v>
          </cell>
          <cell r="DY15">
            <v>30</v>
          </cell>
          <cell r="DZ15">
            <v>1</v>
          </cell>
          <cell r="EA15">
            <v>18</v>
          </cell>
          <cell r="EB15">
            <v>17</v>
          </cell>
          <cell r="ED15">
            <v>1</v>
          </cell>
          <cell r="EE15">
            <v>64</v>
          </cell>
          <cell r="EF15">
            <v>993</v>
          </cell>
          <cell r="EG15">
            <v>0</v>
          </cell>
          <cell r="EH15">
            <v>8</v>
          </cell>
          <cell r="EJ15">
            <v>5869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V15">
            <v>78</v>
          </cell>
          <cell r="EW15">
            <v>16</v>
          </cell>
          <cell r="EX15">
            <v>13</v>
          </cell>
          <cell r="EY15">
            <v>220</v>
          </cell>
          <cell r="FA15">
            <v>55</v>
          </cell>
          <cell r="FB15">
            <v>15</v>
          </cell>
          <cell r="FC15">
            <v>200</v>
          </cell>
          <cell r="FD15">
            <v>0</v>
          </cell>
          <cell r="FF15">
            <v>140</v>
          </cell>
          <cell r="FG15">
            <v>4</v>
          </cell>
          <cell r="FH15">
            <v>865</v>
          </cell>
          <cell r="FJ15">
            <v>570</v>
          </cell>
          <cell r="FM15">
            <v>920</v>
          </cell>
          <cell r="FN15">
            <v>170</v>
          </cell>
        </row>
        <row r="16">
          <cell r="B16">
            <v>30</v>
          </cell>
          <cell r="G16">
            <v>19</v>
          </cell>
          <cell r="H16">
            <v>222</v>
          </cell>
          <cell r="T16">
            <v>250</v>
          </cell>
          <cell r="V16">
            <v>173</v>
          </cell>
          <cell r="AC16">
            <v>730</v>
          </cell>
          <cell r="AG16">
            <v>44</v>
          </cell>
          <cell r="AH16">
            <v>183</v>
          </cell>
          <cell r="AL16">
            <v>29</v>
          </cell>
          <cell r="AM16">
            <v>40</v>
          </cell>
          <cell r="AP16">
            <v>410</v>
          </cell>
          <cell r="AS16">
            <v>300</v>
          </cell>
          <cell r="AU16">
            <v>5</v>
          </cell>
          <cell r="AV16">
            <v>37</v>
          </cell>
          <cell r="AW16">
            <v>30</v>
          </cell>
          <cell r="BA16">
            <v>85</v>
          </cell>
          <cell r="BD16">
            <v>206</v>
          </cell>
          <cell r="BH16">
            <v>2</v>
          </cell>
          <cell r="BJ16">
            <v>13</v>
          </cell>
          <cell r="BK16">
            <v>300</v>
          </cell>
          <cell r="BL16">
            <v>320</v>
          </cell>
          <cell r="BN16">
            <v>24</v>
          </cell>
          <cell r="BR16">
            <v>58</v>
          </cell>
          <cell r="BS16">
            <v>7</v>
          </cell>
          <cell r="BW16">
            <v>14</v>
          </cell>
          <cell r="BX16">
            <v>16</v>
          </cell>
          <cell r="BY16">
            <v>15</v>
          </cell>
          <cell r="BZ16">
            <v>25</v>
          </cell>
          <cell r="CA16">
            <v>22</v>
          </cell>
          <cell r="CD16">
            <v>27</v>
          </cell>
          <cell r="CG16">
            <v>26</v>
          </cell>
          <cell r="CH16">
            <v>16</v>
          </cell>
          <cell r="CK16">
            <v>50</v>
          </cell>
          <cell r="CL16">
            <v>3</v>
          </cell>
          <cell r="CS16">
            <v>265</v>
          </cell>
          <cell r="CY16">
            <v>43</v>
          </cell>
          <cell r="CZ16">
            <v>51</v>
          </cell>
          <cell r="DM16">
            <v>59</v>
          </cell>
          <cell r="DO16">
            <v>17</v>
          </cell>
          <cell r="DQ16">
            <v>17</v>
          </cell>
          <cell r="DS16">
            <v>383</v>
          </cell>
          <cell r="DT16">
            <v>19</v>
          </cell>
          <cell r="DY16">
            <v>28</v>
          </cell>
          <cell r="DZ16">
            <v>16</v>
          </cell>
          <cell r="EA16">
            <v>35</v>
          </cell>
          <cell r="ED16">
            <v>2</v>
          </cell>
          <cell r="EE16">
            <v>58</v>
          </cell>
          <cell r="EF16">
            <v>0</v>
          </cell>
          <cell r="EG16">
            <v>0</v>
          </cell>
          <cell r="EJ16">
            <v>5901</v>
          </cell>
          <cell r="EV16">
            <v>80</v>
          </cell>
          <cell r="EY16">
            <v>220</v>
          </cell>
          <cell r="FC16">
            <v>250</v>
          </cell>
          <cell r="FD16">
            <v>0</v>
          </cell>
          <cell r="FF16">
            <v>140</v>
          </cell>
          <cell r="FG16">
            <v>4</v>
          </cell>
          <cell r="FM16">
            <v>909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J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J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J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0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0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227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195</v>
          </cell>
          <cell r="Y23">
            <v>150</v>
          </cell>
          <cell r="Z23">
            <v>180</v>
          </cell>
          <cell r="AC23">
            <v>1000</v>
          </cell>
          <cell r="AG23">
            <v>47</v>
          </cell>
          <cell r="AH23">
            <v>182</v>
          </cell>
          <cell r="AI23">
            <v>280</v>
          </cell>
          <cell r="AJ23">
            <v>305</v>
          </cell>
          <cell r="AK23">
            <v>340</v>
          </cell>
          <cell r="AL23">
            <v>29</v>
          </cell>
          <cell r="AM23">
            <v>50</v>
          </cell>
          <cell r="AP23">
            <v>403</v>
          </cell>
          <cell r="AQ23">
            <v>405</v>
          </cell>
          <cell r="AR23">
            <v>400</v>
          </cell>
          <cell r="AS23">
            <v>300</v>
          </cell>
          <cell r="AU23">
            <v>11</v>
          </cell>
          <cell r="AV23">
            <v>0</v>
          </cell>
          <cell r="AW23">
            <v>30</v>
          </cell>
          <cell r="AX23">
            <v>30</v>
          </cell>
          <cell r="AZ23">
            <v>56</v>
          </cell>
          <cell r="BA23">
            <v>86</v>
          </cell>
          <cell r="BB23">
            <v>65</v>
          </cell>
          <cell r="BD23">
            <v>204</v>
          </cell>
          <cell r="BE23">
            <v>16</v>
          </cell>
          <cell r="BG23">
            <v>10</v>
          </cell>
          <cell r="BH23">
            <v>2</v>
          </cell>
          <cell r="BI23">
            <v>53</v>
          </cell>
          <cell r="BJ23">
            <v>13</v>
          </cell>
          <cell r="BK23">
            <v>290</v>
          </cell>
          <cell r="BL23">
            <v>320</v>
          </cell>
          <cell r="BM23">
            <v>17</v>
          </cell>
          <cell r="BN23">
            <v>24</v>
          </cell>
          <cell r="BO23">
            <v>7</v>
          </cell>
          <cell r="BR23">
            <v>58</v>
          </cell>
          <cell r="BS23">
            <v>7</v>
          </cell>
          <cell r="BT23">
            <v>18</v>
          </cell>
          <cell r="BU23">
            <v>11</v>
          </cell>
          <cell r="BV23">
            <v>32</v>
          </cell>
          <cell r="BW23">
            <v>16</v>
          </cell>
          <cell r="BX23">
            <v>16</v>
          </cell>
          <cell r="BY23">
            <v>15</v>
          </cell>
          <cell r="BZ23">
            <v>24</v>
          </cell>
          <cell r="CA23">
            <v>26</v>
          </cell>
          <cell r="CB23">
            <v>78</v>
          </cell>
          <cell r="CC23">
            <v>114</v>
          </cell>
          <cell r="CD23">
            <v>26</v>
          </cell>
          <cell r="CE23">
            <v>35</v>
          </cell>
          <cell r="CF23">
            <v>67</v>
          </cell>
          <cell r="CG23">
            <v>25</v>
          </cell>
          <cell r="CH23">
            <v>64</v>
          </cell>
          <cell r="CJ23">
            <v>50</v>
          </cell>
          <cell r="CK23">
            <v>70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280</v>
          </cell>
          <cell r="CT23">
            <v>91</v>
          </cell>
          <cell r="CU23">
            <v>13</v>
          </cell>
          <cell r="CX23">
            <v>50</v>
          </cell>
          <cell r="CY23">
            <v>43</v>
          </cell>
          <cell r="CZ23">
            <v>51</v>
          </cell>
          <cell r="DA23">
            <v>8</v>
          </cell>
          <cell r="DM23">
            <v>18</v>
          </cell>
          <cell r="DO23">
            <v>96</v>
          </cell>
          <cell r="DP23">
            <v>61</v>
          </cell>
          <cell r="DQ23">
            <v>17</v>
          </cell>
          <cell r="DR23">
            <v>20</v>
          </cell>
          <cell r="DS23">
            <v>336</v>
          </cell>
          <cell r="DT23">
            <v>58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45</v>
          </cell>
          <cell r="EA23">
            <v>17</v>
          </cell>
          <cell r="EB23">
            <v>17</v>
          </cell>
          <cell r="ED23">
            <v>13</v>
          </cell>
          <cell r="EE23">
            <v>647</v>
          </cell>
          <cell r="EF23">
            <v>1023</v>
          </cell>
          <cell r="EG23">
            <v>9757</v>
          </cell>
          <cell r="EJ23">
            <v>6376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33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372</v>
          </cell>
          <cell r="EX23">
            <v>17</v>
          </cell>
          <cell r="EY23">
            <v>220</v>
          </cell>
          <cell r="EZ23">
            <v>209</v>
          </cell>
          <cell r="FA23">
            <v>55</v>
          </cell>
          <cell r="FB23">
            <v>130</v>
          </cell>
          <cell r="FC23">
            <v>307</v>
          </cell>
          <cell r="FD23">
            <v>10</v>
          </cell>
          <cell r="FE23">
            <v>16</v>
          </cell>
          <cell r="FF23">
            <v>140</v>
          </cell>
          <cell r="FG23">
            <v>7</v>
          </cell>
          <cell r="FH23">
            <v>788</v>
          </cell>
          <cell r="FI23">
            <v>926</v>
          </cell>
          <cell r="FJ23">
            <v>19</v>
          </cell>
          <cell r="FK23">
            <v>910</v>
          </cell>
          <cell r="FL23">
            <v>700</v>
          </cell>
          <cell r="FM23">
            <v>918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227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300</v>
          </cell>
          <cell r="U24">
            <v>275</v>
          </cell>
          <cell r="V24">
            <v>189</v>
          </cell>
          <cell r="Y24">
            <v>150</v>
          </cell>
          <cell r="Z24">
            <v>180</v>
          </cell>
          <cell r="AC24">
            <v>1000</v>
          </cell>
          <cell r="AG24">
            <v>47</v>
          </cell>
          <cell r="AH24">
            <v>182</v>
          </cell>
          <cell r="AI24">
            <v>280</v>
          </cell>
          <cell r="AJ24">
            <v>290</v>
          </cell>
          <cell r="AK24">
            <v>300</v>
          </cell>
          <cell r="AL24">
            <v>29</v>
          </cell>
          <cell r="AM24">
            <v>50</v>
          </cell>
          <cell r="AP24">
            <v>403</v>
          </cell>
          <cell r="AQ24">
            <v>400</v>
          </cell>
          <cell r="AR24">
            <v>400</v>
          </cell>
          <cell r="AS24">
            <v>300</v>
          </cell>
          <cell r="AU24">
            <v>11</v>
          </cell>
          <cell r="AW24">
            <v>30</v>
          </cell>
          <cell r="AX24">
            <v>28</v>
          </cell>
          <cell r="AZ24">
            <v>62</v>
          </cell>
          <cell r="BA24">
            <v>86</v>
          </cell>
          <cell r="BB24">
            <v>45</v>
          </cell>
          <cell r="BD24">
            <v>204</v>
          </cell>
          <cell r="BE24">
            <v>16</v>
          </cell>
          <cell r="BG24">
            <v>10</v>
          </cell>
          <cell r="BH24">
            <v>2</v>
          </cell>
          <cell r="BI24">
            <v>53</v>
          </cell>
          <cell r="BJ24">
            <v>13</v>
          </cell>
          <cell r="BK24">
            <v>295</v>
          </cell>
          <cell r="BL24">
            <v>320</v>
          </cell>
          <cell r="BM24">
            <v>35</v>
          </cell>
          <cell r="BN24">
            <v>24</v>
          </cell>
          <cell r="BO24">
            <v>7</v>
          </cell>
          <cell r="BR24">
            <v>58</v>
          </cell>
          <cell r="BS24">
            <v>10</v>
          </cell>
          <cell r="BT24">
            <v>18</v>
          </cell>
          <cell r="BU24">
            <v>11</v>
          </cell>
          <cell r="BV24">
            <v>16</v>
          </cell>
          <cell r="BW24">
            <v>16</v>
          </cell>
          <cell r="BX24">
            <v>16</v>
          </cell>
          <cell r="BY24">
            <v>15</v>
          </cell>
          <cell r="BZ24">
            <v>24</v>
          </cell>
          <cell r="CA24">
            <v>26</v>
          </cell>
          <cell r="CB24">
            <v>78</v>
          </cell>
          <cell r="CC24">
            <v>114</v>
          </cell>
          <cell r="CD24">
            <v>26</v>
          </cell>
          <cell r="CE24">
            <v>35</v>
          </cell>
          <cell r="CF24">
            <v>67</v>
          </cell>
          <cell r="CG24">
            <v>25</v>
          </cell>
          <cell r="CH24">
            <v>64</v>
          </cell>
          <cell r="CJ24">
            <v>52</v>
          </cell>
          <cell r="CK24">
            <v>70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288</v>
          </cell>
          <cell r="CT24">
            <v>91</v>
          </cell>
          <cell r="CU24">
            <v>15</v>
          </cell>
          <cell r="CX24">
            <v>68</v>
          </cell>
          <cell r="CY24">
            <v>43</v>
          </cell>
          <cell r="CZ24">
            <v>51</v>
          </cell>
          <cell r="DA24">
            <v>8</v>
          </cell>
          <cell r="DM24">
            <v>18</v>
          </cell>
          <cell r="DO24">
            <v>97</v>
          </cell>
          <cell r="DP24">
            <v>61</v>
          </cell>
          <cell r="DQ24">
            <v>90</v>
          </cell>
          <cell r="DR24">
            <v>5</v>
          </cell>
          <cell r="DS24">
            <v>340</v>
          </cell>
          <cell r="DT24">
            <v>59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17</v>
          </cell>
          <cell r="EA24">
            <v>17</v>
          </cell>
          <cell r="EB24">
            <v>61</v>
          </cell>
          <cell r="ED24">
            <v>13</v>
          </cell>
          <cell r="EE24">
            <v>648</v>
          </cell>
          <cell r="EF24">
            <v>1019</v>
          </cell>
          <cell r="EG24">
            <v>9654</v>
          </cell>
          <cell r="EJ24">
            <v>6287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30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372</v>
          </cell>
          <cell r="EX24">
            <v>116</v>
          </cell>
          <cell r="EY24">
            <v>220</v>
          </cell>
          <cell r="EZ24">
            <v>230</v>
          </cell>
          <cell r="FA24">
            <v>55</v>
          </cell>
          <cell r="FB24">
            <v>130</v>
          </cell>
          <cell r="FC24">
            <v>250</v>
          </cell>
          <cell r="FD24">
            <v>10</v>
          </cell>
          <cell r="FE24">
            <v>24</v>
          </cell>
          <cell r="FF24">
            <v>140</v>
          </cell>
          <cell r="FG24">
            <v>7</v>
          </cell>
          <cell r="FH24">
            <v>788</v>
          </cell>
          <cell r="FI24">
            <v>875</v>
          </cell>
          <cell r="FJ24">
            <v>25</v>
          </cell>
          <cell r="FK24">
            <v>1160</v>
          </cell>
          <cell r="FL24">
            <v>840</v>
          </cell>
          <cell r="FM24">
            <v>917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227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300</v>
          </cell>
          <cell r="U25">
            <v>275</v>
          </cell>
          <cell r="V25">
            <v>189</v>
          </cell>
          <cell r="Y25">
            <v>150</v>
          </cell>
          <cell r="Z25">
            <v>180</v>
          </cell>
          <cell r="AC25">
            <v>1000</v>
          </cell>
          <cell r="AG25">
            <v>47</v>
          </cell>
          <cell r="AH25">
            <v>182</v>
          </cell>
          <cell r="AI25">
            <v>300</v>
          </cell>
          <cell r="AJ25">
            <v>290</v>
          </cell>
          <cell r="AK25">
            <v>300</v>
          </cell>
          <cell r="AL25">
            <v>29</v>
          </cell>
          <cell r="AM25">
            <v>50</v>
          </cell>
          <cell r="AP25">
            <v>401</v>
          </cell>
          <cell r="AQ25">
            <v>400</v>
          </cell>
          <cell r="AR25">
            <v>400</v>
          </cell>
          <cell r="AS25">
            <v>300</v>
          </cell>
          <cell r="AU25">
            <v>11</v>
          </cell>
          <cell r="AW25">
            <v>30</v>
          </cell>
          <cell r="AX25">
            <v>28</v>
          </cell>
          <cell r="AZ25">
            <v>59</v>
          </cell>
          <cell r="BA25">
            <v>86</v>
          </cell>
          <cell r="BB25">
            <v>45</v>
          </cell>
          <cell r="BD25">
            <v>205</v>
          </cell>
          <cell r="BE25">
            <v>16</v>
          </cell>
          <cell r="BG25">
            <v>10</v>
          </cell>
          <cell r="BH25">
            <v>2</v>
          </cell>
          <cell r="BI25">
            <v>53</v>
          </cell>
          <cell r="BJ25">
            <v>13</v>
          </cell>
          <cell r="BK25">
            <v>295</v>
          </cell>
          <cell r="BL25">
            <v>320</v>
          </cell>
          <cell r="BM25">
            <v>35</v>
          </cell>
          <cell r="BN25">
            <v>24</v>
          </cell>
          <cell r="BO25">
            <v>7</v>
          </cell>
          <cell r="BR25">
            <v>56</v>
          </cell>
          <cell r="BS25">
            <v>14</v>
          </cell>
          <cell r="BT25">
            <v>18</v>
          </cell>
          <cell r="BU25">
            <v>11</v>
          </cell>
          <cell r="BV25">
            <v>28</v>
          </cell>
          <cell r="BW25">
            <v>16</v>
          </cell>
          <cell r="BX25">
            <v>16</v>
          </cell>
          <cell r="BY25">
            <v>15</v>
          </cell>
          <cell r="BZ25">
            <v>24</v>
          </cell>
          <cell r="CA25">
            <v>26</v>
          </cell>
          <cell r="CB25">
            <v>78</v>
          </cell>
          <cell r="CC25">
            <v>114</v>
          </cell>
          <cell r="CD25">
            <v>26</v>
          </cell>
          <cell r="CE25">
            <v>35</v>
          </cell>
          <cell r="CF25">
            <v>67</v>
          </cell>
          <cell r="CG25">
            <v>25</v>
          </cell>
          <cell r="CH25">
            <v>48</v>
          </cell>
          <cell r="CJ25">
            <v>52</v>
          </cell>
          <cell r="CK25">
            <v>70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278</v>
          </cell>
          <cell r="CT25">
            <v>89</v>
          </cell>
          <cell r="CU25">
            <v>14</v>
          </cell>
          <cell r="CX25">
            <v>78</v>
          </cell>
          <cell r="CY25">
            <v>43</v>
          </cell>
          <cell r="CZ25">
            <v>51</v>
          </cell>
          <cell r="DA25">
            <v>8</v>
          </cell>
          <cell r="DM25">
            <v>18</v>
          </cell>
          <cell r="DO25">
            <v>97</v>
          </cell>
          <cell r="DP25">
            <v>61</v>
          </cell>
          <cell r="DQ25">
            <v>90</v>
          </cell>
          <cell r="DR25">
            <v>6</v>
          </cell>
          <cell r="DS25">
            <v>336</v>
          </cell>
          <cell r="DT25">
            <v>59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18</v>
          </cell>
          <cell r="EA25">
            <v>17</v>
          </cell>
          <cell r="EB25">
            <v>108</v>
          </cell>
          <cell r="ED25">
            <v>10</v>
          </cell>
          <cell r="EE25">
            <v>648</v>
          </cell>
          <cell r="EF25">
            <v>1019</v>
          </cell>
          <cell r="EG25">
            <v>9816</v>
          </cell>
          <cell r="EJ25">
            <v>6256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30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372</v>
          </cell>
          <cell r="EX25">
            <v>116</v>
          </cell>
          <cell r="EY25">
            <v>220</v>
          </cell>
          <cell r="EZ25">
            <v>200</v>
          </cell>
          <cell r="FA25">
            <v>55</v>
          </cell>
          <cell r="FB25">
            <v>130</v>
          </cell>
          <cell r="FC25">
            <v>250</v>
          </cell>
          <cell r="FD25">
            <v>10</v>
          </cell>
          <cell r="FE25">
            <v>40</v>
          </cell>
          <cell r="FF25">
            <v>140</v>
          </cell>
          <cell r="FG25">
            <v>7</v>
          </cell>
          <cell r="FH25">
            <v>789</v>
          </cell>
          <cell r="FI25">
            <v>639</v>
          </cell>
          <cell r="FJ25">
            <v>25</v>
          </cell>
          <cell r="FK25">
            <v>1120</v>
          </cell>
          <cell r="FL25">
            <v>870</v>
          </cell>
          <cell r="FM25">
            <v>917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227</v>
          </cell>
          <cell r="M26">
            <v>51</v>
          </cell>
          <cell r="N26">
            <v>38</v>
          </cell>
          <cell r="O26">
            <v>34</v>
          </cell>
          <cell r="Q26">
            <v>14</v>
          </cell>
          <cell r="T26">
            <v>250</v>
          </cell>
          <cell r="U26">
            <v>180</v>
          </cell>
          <cell r="V26">
            <v>197</v>
          </cell>
          <cell r="Y26">
            <v>220</v>
          </cell>
          <cell r="Z26">
            <v>180</v>
          </cell>
          <cell r="AC26">
            <v>1005</v>
          </cell>
          <cell r="AG26">
            <v>47</v>
          </cell>
          <cell r="AH26">
            <v>182</v>
          </cell>
          <cell r="AI26">
            <v>280</v>
          </cell>
          <cell r="AJ26">
            <v>305</v>
          </cell>
          <cell r="AK26">
            <v>300</v>
          </cell>
          <cell r="AL26">
            <v>29</v>
          </cell>
          <cell r="AM26">
            <v>50</v>
          </cell>
          <cell r="AP26">
            <v>353</v>
          </cell>
          <cell r="AQ26">
            <v>506</v>
          </cell>
          <cell r="AR26">
            <v>400</v>
          </cell>
          <cell r="AS26">
            <v>300</v>
          </cell>
          <cell r="AU26">
            <v>11</v>
          </cell>
          <cell r="AW26">
            <v>30</v>
          </cell>
          <cell r="AX26">
            <v>28</v>
          </cell>
          <cell r="AZ26">
            <v>62</v>
          </cell>
          <cell r="BA26">
            <v>86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2</v>
          </cell>
          <cell r="BI26">
            <v>53</v>
          </cell>
          <cell r="BJ26">
            <v>13</v>
          </cell>
          <cell r="BK26">
            <v>280</v>
          </cell>
          <cell r="BL26">
            <v>320</v>
          </cell>
          <cell r="BM26">
            <v>55</v>
          </cell>
          <cell r="BN26">
            <v>22</v>
          </cell>
          <cell r="BO26">
            <v>7</v>
          </cell>
          <cell r="BR26">
            <v>56</v>
          </cell>
          <cell r="BS26">
            <v>14</v>
          </cell>
          <cell r="BT26">
            <v>18</v>
          </cell>
          <cell r="BU26">
            <v>11</v>
          </cell>
          <cell r="BV26">
            <v>21</v>
          </cell>
          <cell r="BW26">
            <v>16</v>
          </cell>
          <cell r="BX26">
            <v>16</v>
          </cell>
          <cell r="BY26">
            <v>15</v>
          </cell>
          <cell r="BZ26">
            <v>24</v>
          </cell>
          <cell r="CA26">
            <v>26</v>
          </cell>
          <cell r="CB26">
            <v>78</v>
          </cell>
          <cell r="CC26">
            <v>114</v>
          </cell>
          <cell r="CD26">
            <v>26</v>
          </cell>
          <cell r="CE26">
            <v>35</v>
          </cell>
          <cell r="CF26">
            <v>67</v>
          </cell>
          <cell r="CG26">
            <v>25</v>
          </cell>
          <cell r="CH26">
            <v>32</v>
          </cell>
          <cell r="CJ26">
            <v>52</v>
          </cell>
          <cell r="CK26">
            <v>52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260</v>
          </cell>
          <cell r="CT26">
            <v>91</v>
          </cell>
          <cell r="CU26">
            <v>50</v>
          </cell>
          <cell r="CX26">
            <v>46</v>
          </cell>
          <cell r="CY26">
            <v>43</v>
          </cell>
          <cell r="CZ26">
            <v>51</v>
          </cell>
          <cell r="DA26">
            <v>82</v>
          </cell>
          <cell r="DM26">
            <v>18</v>
          </cell>
          <cell r="DO26">
            <v>97</v>
          </cell>
          <cell r="DP26">
            <v>61</v>
          </cell>
          <cell r="DQ26">
            <v>90</v>
          </cell>
          <cell r="DR26">
            <v>5</v>
          </cell>
          <cell r="DS26">
            <v>336</v>
          </cell>
          <cell r="DT26">
            <v>59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16</v>
          </cell>
          <cell r="EA26">
            <v>17</v>
          </cell>
          <cell r="EB26">
            <v>108</v>
          </cell>
          <cell r="ED26">
            <v>7</v>
          </cell>
          <cell r="EE26">
            <v>646</v>
          </cell>
          <cell r="EF26">
            <v>1023</v>
          </cell>
          <cell r="EG26">
            <v>9741</v>
          </cell>
          <cell r="EJ26">
            <v>6060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372</v>
          </cell>
          <cell r="EX26">
            <v>72</v>
          </cell>
          <cell r="EY26">
            <v>220</v>
          </cell>
          <cell r="EZ26">
            <v>200</v>
          </cell>
          <cell r="FA26">
            <v>55</v>
          </cell>
          <cell r="FB26">
            <v>130</v>
          </cell>
          <cell r="FC26">
            <v>250</v>
          </cell>
          <cell r="FD26">
            <v>10</v>
          </cell>
          <cell r="FE26">
            <v>40</v>
          </cell>
          <cell r="FF26">
            <v>140</v>
          </cell>
          <cell r="FG26">
            <v>7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918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227</v>
          </cell>
          <cell r="M27">
            <v>51</v>
          </cell>
          <cell r="N27">
            <v>38</v>
          </cell>
          <cell r="O27">
            <v>34</v>
          </cell>
          <cell r="Q27">
            <v>14</v>
          </cell>
          <cell r="T27">
            <v>250</v>
          </cell>
          <cell r="U27">
            <v>178</v>
          </cell>
          <cell r="V27">
            <v>128</v>
          </cell>
          <cell r="Y27">
            <v>220</v>
          </cell>
          <cell r="Z27">
            <v>180</v>
          </cell>
          <cell r="AC27">
            <v>918</v>
          </cell>
          <cell r="AG27">
            <v>47</v>
          </cell>
          <cell r="AH27">
            <v>181</v>
          </cell>
          <cell r="AI27">
            <v>280</v>
          </cell>
          <cell r="AJ27">
            <v>280</v>
          </cell>
          <cell r="AK27">
            <v>270</v>
          </cell>
          <cell r="AL27">
            <v>29</v>
          </cell>
          <cell r="AM27">
            <v>50</v>
          </cell>
          <cell r="AP27">
            <v>349</v>
          </cell>
          <cell r="AQ27">
            <v>505</v>
          </cell>
          <cell r="AR27">
            <v>400</v>
          </cell>
          <cell r="AS27">
            <v>300</v>
          </cell>
          <cell r="AU27">
            <v>11</v>
          </cell>
          <cell r="AW27">
            <v>30</v>
          </cell>
          <cell r="AX27">
            <v>29</v>
          </cell>
          <cell r="AZ27">
            <v>61</v>
          </cell>
          <cell r="BA27">
            <v>85</v>
          </cell>
          <cell r="BB27">
            <v>95</v>
          </cell>
          <cell r="BD27">
            <v>208</v>
          </cell>
          <cell r="BE27">
            <v>18</v>
          </cell>
          <cell r="BG27">
            <v>10</v>
          </cell>
          <cell r="BH27">
            <v>2</v>
          </cell>
          <cell r="BI27">
            <v>53</v>
          </cell>
          <cell r="BJ27">
            <v>13</v>
          </cell>
          <cell r="BK27">
            <v>265</v>
          </cell>
          <cell r="BL27">
            <v>320</v>
          </cell>
          <cell r="BM27">
            <v>55</v>
          </cell>
          <cell r="BN27">
            <v>24</v>
          </cell>
          <cell r="BO27">
            <v>8</v>
          </cell>
          <cell r="BR27">
            <v>54</v>
          </cell>
          <cell r="BS27">
            <v>4</v>
          </cell>
          <cell r="BT27">
            <v>18</v>
          </cell>
          <cell r="BU27">
            <v>11</v>
          </cell>
          <cell r="BV27">
            <v>28</v>
          </cell>
          <cell r="BW27">
            <v>16</v>
          </cell>
          <cell r="BX27">
            <v>16</v>
          </cell>
          <cell r="BY27">
            <v>15</v>
          </cell>
          <cell r="BZ27">
            <v>24</v>
          </cell>
          <cell r="CA27">
            <v>26</v>
          </cell>
          <cell r="CB27">
            <v>79</v>
          </cell>
          <cell r="CC27">
            <v>114</v>
          </cell>
          <cell r="CD27">
            <v>93</v>
          </cell>
          <cell r="CE27">
            <v>17</v>
          </cell>
          <cell r="CF27">
            <v>70</v>
          </cell>
          <cell r="CG27">
            <v>25</v>
          </cell>
          <cell r="CH27">
            <v>16</v>
          </cell>
          <cell r="CJ27">
            <v>52</v>
          </cell>
          <cell r="CK27">
            <v>34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285</v>
          </cell>
          <cell r="CT27">
            <v>25</v>
          </cell>
          <cell r="CU27">
            <v>17</v>
          </cell>
          <cell r="CX27">
            <v>46</v>
          </cell>
          <cell r="CY27">
            <v>40</v>
          </cell>
          <cell r="CZ27">
            <v>51</v>
          </cell>
          <cell r="DA27">
            <v>82</v>
          </cell>
          <cell r="DM27">
            <v>18</v>
          </cell>
          <cell r="DO27">
            <v>86</v>
          </cell>
          <cell r="DP27">
            <v>61</v>
          </cell>
          <cell r="DQ27">
            <v>89</v>
          </cell>
          <cell r="DR27">
            <v>6</v>
          </cell>
          <cell r="DS27">
            <v>336</v>
          </cell>
          <cell r="DT27">
            <v>59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16</v>
          </cell>
          <cell r="EA27">
            <v>17</v>
          </cell>
          <cell r="EB27">
            <v>90</v>
          </cell>
          <cell r="ED27">
            <v>10</v>
          </cell>
          <cell r="EE27">
            <v>648</v>
          </cell>
          <cell r="EF27">
            <v>1025</v>
          </cell>
          <cell r="EG27">
            <v>9622</v>
          </cell>
          <cell r="EJ27">
            <v>5777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370</v>
          </cell>
          <cell r="EX27">
            <v>35</v>
          </cell>
          <cell r="EY27">
            <v>180</v>
          </cell>
          <cell r="EZ27">
            <v>200</v>
          </cell>
          <cell r="FA27">
            <v>55</v>
          </cell>
          <cell r="FB27">
            <v>130</v>
          </cell>
          <cell r="FC27">
            <v>200</v>
          </cell>
          <cell r="FD27">
            <v>10</v>
          </cell>
          <cell r="FE27">
            <v>40</v>
          </cell>
          <cell r="FF27">
            <v>140</v>
          </cell>
          <cell r="FG27">
            <v>7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917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226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250</v>
          </cell>
          <cell r="U28">
            <v>180</v>
          </cell>
          <cell r="V28">
            <v>128</v>
          </cell>
          <cell r="Y28">
            <v>220</v>
          </cell>
          <cell r="Z28">
            <v>180</v>
          </cell>
          <cell r="AC28">
            <v>830</v>
          </cell>
          <cell r="AG28">
            <v>47</v>
          </cell>
          <cell r="AH28">
            <v>183</v>
          </cell>
          <cell r="AI28">
            <v>250</v>
          </cell>
          <cell r="AJ28">
            <v>315</v>
          </cell>
          <cell r="AK28">
            <v>230</v>
          </cell>
          <cell r="AL28">
            <v>29</v>
          </cell>
          <cell r="AM28">
            <v>45</v>
          </cell>
          <cell r="AP28">
            <v>350</v>
          </cell>
          <cell r="AQ28">
            <v>505</v>
          </cell>
          <cell r="AR28">
            <v>400</v>
          </cell>
          <cell r="AS28">
            <v>300</v>
          </cell>
          <cell r="AU28">
            <v>12</v>
          </cell>
          <cell r="AW28">
            <v>30</v>
          </cell>
          <cell r="AX28">
            <v>29</v>
          </cell>
          <cell r="AZ28">
            <v>59</v>
          </cell>
          <cell r="BA28">
            <v>85</v>
          </cell>
          <cell r="BD28">
            <v>208</v>
          </cell>
          <cell r="BE28">
            <v>18</v>
          </cell>
          <cell r="BG28">
            <v>10</v>
          </cell>
          <cell r="BH28">
            <v>2</v>
          </cell>
          <cell r="BI28">
            <v>53</v>
          </cell>
          <cell r="BJ28">
            <v>13</v>
          </cell>
          <cell r="BK28">
            <v>290</v>
          </cell>
          <cell r="BL28">
            <v>320</v>
          </cell>
          <cell r="BM28">
            <v>55</v>
          </cell>
          <cell r="BN28">
            <v>24</v>
          </cell>
          <cell r="BO28">
            <v>8</v>
          </cell>
          <cell r="BR28">
            <v>56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16</v>
          </cell>
          <cell r="BX28">
            <v>16</v>
          </cell>
          <cell r="BY28">
            <v>15</v>
          </cell>
          <cell r="BZ28">
            <v>22</v>
          </cell>
          <cell r="CA28">
            <v>26</v>
          </cell>
          <cell r="CB28">
            <v>79</v>
          </cell>
          <cell r="CC28">
            <v>114</v>
          </cell>
          <cell r="CD28">
            <v>53</v>
          </cell>
          <cell r="CE28">
            <v>17</v>
          </cell>
          <cell r="CF28">
            <v>65</v>
          </cell>
          <cell r="CG28">
            <v>8</v>
          </cell>
          <cell r="CH28">
            <v>16</v>
          </cell>
          <cell r="CJ28">
            <v>52</v>
          </cell>
          <cell r="CK28">
            <v>17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303</v>
          </cell>
          <cell r="CT28">
            <v>18</v>
          </cell>
          <cell r="CU28">
            <v>17</v>
          </cell>
          <cell r="CX28">
            <v>46</v>
          </cell>
          <cell r="CY28">
            <v>40</v>
          </cell>
          <cell r="CZ28">
            <v>51</v>
          </cell>
          <cell r="DA28">
            <v>82</v>
          </cell>
          <cell r="DM28">
            <v>18</v>
          </cell>
          <cell r="DO28">
            <v>65</v>
          </cell>
          <cell r="DP28">
            <v>61</v>
          </cell>
          <cell r="DQ28">
            <v>89</v>
          </cell>
          <cell r="DR28">
            <v>6</v>
          </cell>
          <cell r="DS28">
            <v>336</v>
          </cell>
          <cell r="DT28">
            <v>59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17</v>
          </cell>
          <cell r="EB28">
            <v>17</v>
          </cell>
          <cell r="ED28">
            <v>11</v>
          </cell>
          <cell r="EE28">
            <v>648</v>
          </cell>
          <cell r="EF28">
            <v>1020</v>
          </cell>
          <cell r="EG28">
            <v>9357</v>
          </cell>
          <cell r="EJ28">
            <v>5648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370</v>
          </cell>
          <cell r="EX28">
            <v>64</v>
          </cell>
          <cell r="EY28">
            <v>180</v>
          </cell>
          <cell r="EZ28">
            <v>230</v>
          </cell>
          <cell r="FA28">
            <v>55</v>
          </cell>
          <cell r="FB28">
            <v>128</v>
          </cell>
          <cell r="FC28">
            <v>200</v>
          </cell>
          <cell r="FD28">
            <v>10</v>
          </cell>
          <cell r="FE28">
            <v>40</v>
          </cell>
          <cell r="FF28">
            <v>140</v>
          </cell>
          <cell r="FG28">
            <v>7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916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0</v>
          </cell>
          <cell r="H29">
            <v>226</v>
          </cell>
          <cell r="M29">
            <v>0</v>
          </cell>
          <cell r="N29">
            <v>48</v>
          </cell>
          <cell r="O29">
            <v>0</v>
          </cell>
          <cell r="Q29">
            <v>26</v>
          </cell>
          <cell r="T29">
            <v>250</v>
          </cell>
          <cell r="U29">
            <v>180</v>
          </cell>
          <cell r="V29">
            <v>128</v>
          </cell>
          <cell r="Y29">
            <v>220</v>
          </cell>
          <cell r="Z29">
            <v>180</v>
          </cell>
          <cell r="AC29">
            <v>748</v>
          </cell>
          <cell r="AG29">
            <v>47</v>
          </cell>
          <cell r="AH29">
            <v>183</v>
          </cell>
          <cell r="AI29">
            <v>265</v>
          </cell>
          <cell r="AJ29">
            <v>310</v>
          </cell>
          <cell r="AK29">
            <v>260</v>
          </cell>
          <cell r="AL29">
            <v>29</v>
          </cell>
          <cell r="AM29">
            <v>45</v>
          </cell>
          <cell r="AP29">
            <v>350</v>
          </cell>
          <cell r="AQ29">
            <v>450</v>
          </cell>
          <cell r="AR29">
            <v>560</v>
          </cell>
          <cell r="AS29">
            <v>300</v>
          </cell>
          <cell r="AU29">
            <v>12</v>
          </cell>
          <cell r="AW29">
            <v>30</v>
          </cell>
          <cell r="AX29">
            <v>30</v>
          </cell>
          <cell r="AZ29">
            <v>0</v>
          </cell>
          <cell r="BA29">
            <v>5</v>
          </cell>
          <cell r="BD29">
            <v>207</v>
          </cell>
          <cell r="BE29">
            <v>17</v>
          </cell>
          <cell r="BG29">
            <v>9</v>
          </cell>
          <cell r="BH29">
            <v>2</v>
          </cell>
          <cell r="BI29">
            <v>53</v>
          </cell>
          <cell r="BJ29">
            <v>8</v>
          </cell>
          <cell r="BK29">
            <v>285</v>
          </cell>
          <cell r="BL29">
            <v>320</v>
          </cell>
          <cell r="BM29">
            <v>0</v>
          </cell>
          <cell r="BN29">
            <v>0</v>
          </cell>
          <cell r="BO29">
            <v>8</v>
          </cell>
          <cell r="BR29">
            <v>54</v>
          </cell>
          <cell r="BS29">
            <v>29</v>
          </cell>
          <cell r="BT29">
            <v>18</v>
          </cell>
          <cell r="BU29">
            <v>11</v>
          </cell>
          <cell r="BV29">
            <v>0</v>
          </cell>
          <cell r="BW29">
            <v>16</v>
          </cell>
          <cell r="BX29">
            <v>16</v>
          </cell>
          <cell r="BY29">
            <v>15</v>
          </cell>
          <cell r="BZ29">
            <v>22</v>
          </cell>
          <cell r="CA29">
            <v>26</v>
          </cell>
          <cell r="CB29">
            <v>79</v>
          </cell>
          <cell r="CC29">
            <v>0</v>
          </cell>
          <cell r="CD29">
            <v>0</v>
          </cell>
          <cell r="CE29">
            <v>0</v>
          </cell>
          <cell r="CF29">
            <v>68</v>
          </cell>
          <cell r="CG29">
            <v>0</v>
          </cell>
          <cell r="CH29">
            <v>0</v>
          </cell>
          <cell r="CJ29">
            <v>25</v>
          </cell>
          <cell r="CK29">
            <v>0</v>
          </cell>
          <cell r="CM29">
            <v>36</v>
          </cell>
          <cell r="CN29">
            <v>0</v>
          </cell>
          <cell r="CO29">
            <v>82</v>
          </cell>
          <cell r="CR29">
            <v>0</v>
          </cell>
          <cell r="CS29">
            <v>278</v>
          </cell>
          <cell r="CT29">
            <v>17</v>
          </cell>
          <cell r="CU29">
            <v>0</v>
          </cell>
          <cell r="CX29">
            <v>70</v>
          </cell>
          <cell r="CY29">
            <v>5</v>
          </cell>
          <cell r="CZ29">
            <v>51</v>
          </cell>
          <cell r="DA29">
            <v>0</v>
          </cell>
          <cell r="DM29">
            <v>18</v>
          </cell>
          <cell r="DO29">
            <v>35</v>
          </cell>
          <cell r="DP29">
            <v>49</v>
          </cell>
          <cell r="DQ29">
            <v>0</v>
          </cell>
          <cell r="DR29">
            <v>5</v>
          </cell>
          <cell r="DS29">
            <v>375</v>
          </cell>
          <cell r="DT29">
            <v>59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Z29">
            <v>0</v>
          </cell>
          <cell r="EA29">
            <v>17</v>
          </cell>
          <cell r="EB29">
            <v>0</v>
          </cell>
          <cell r="ED29">
            <v>22</v>
          </cell>
          <cell r="EE29">
            <v>648</v>
          </cell>
          <cell r="EF29">
            <v>850</v>
          </cell>
          <cell r="EG29">
            <v>8803</v>
          </cell>
          <cell r="EH29">
            <v>0</v>
          </cell>
          <cell r="EJ29">
            <v>5213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0</v>
          </cell>
          <cell r="EV29">
            <v>220</v>
          </cell>
          <cell r="EW29">
            <v>370</v>
          </cell>
          <cell r="EX29">
            <v>0</v>
          </cell>
          <cell r="EY29">
            <v>180</v>
          </cell>
          <cell r="EZ29">
            <v>260</v>
          </cell>
          <cell r="FA29">
            <v>0</v>
          </cell>
          <cell r="FB29">
            <v>130</v>
          </cell>
          <cell r="FC29">
            <v>150</v>
          </cell>
          <cell r="FD29">
            <v>10</v>
          </cell>
          <cell r="FE29">
            <v>40</v>
          </cell>
          <cell r="FF29">
            <v>140</v>
          </cell>
          <cell r="FG29">
            <v>7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917</v>
          </cell>
          <cell r="FN29">
            <v>0</v>
          </cell>
        </row>
        <row r="30">
          <cell r="B30">
            <v>714526</v>
          </cell>
          <cell r="C30">
            <v>412000</v>
          </cell>
          <cell r="D30">
            <v>2600000</v>
          </cell>
          <cell r="F30">
            <v>0</v>
          </cell>
          <cell r="G30">
            <v>125955</v>
          </cell>
          <cell r="H30">
            <v>5359891</v>
          </cell>
          <cell r="M30">
            <v>0</v>
          </cell>
          <cell r="N30">
            <v>0</v>
          </cell>
          <cell r="O30">
            <v>24254</v>
          </cell>
          <cell r="Q30">
            <v>767296</v>
          </cell>
          <cell r="T30">
            <v>6143303</v>
          </cell>
          <cell r="U30">
            <v>3171491</v>
          </cell>
          <cell r="V30">
            <v>3680000</v>
          </cell>
          <cell r="Y30">
            <v>4206750</v>
          </cell>
          <cell r="Z30">
            <v>4047750</v>
          </cell>
          <cell r="AC30">
            <v>18616362</v>
          </cell>
          <cell r="AG30">
            <v>937728</v>
          </cell>
          <cell r="AH30">
            <v>4581000</v>
          </cell>
          <cell r="AI30">
            <v>6990000</v>
          </cell>
          <cell r="AJ30">
            <v>7427200</v>
          </cell>
          <cell r="AK30">
            <v>7474200</v>
          </cell>
          <cell r="AL30">
            <v>491040</v>
          </cell>
          <cell r="AM30">
            <v>1186570</v>
          </cell>
          <cell r="AP30">
            <v>8506800</v>
          </cell>
          <cell r="AQ30">
            <v>11416363</v>
          </cell>
          <cell r="AR30">
            <v>9647273</v>
          </cell>
          <cell r="AS30">
            <v>7364500</v>
          </cell>
          <cell r="AU30">
            <v>313920</v>
          </cell>
          <cell r="AV30">
            <v>295410</v>
          </cell>
          <cell r="AW30">
            <v>716000</v>
          </cell>
          <cell r="AX30">
            <v>679920</v>
          </cell>
          <cell r="AZ30">
            <v>240576</v>
          </cell>
          <cell r="BA30">
            <v>1588800</v>
          </cell>
          <cell r="BB30">
            <v>233836</v>
          </cell>
          <cell r="BD30">
            <v>5212300</v>
          </cell>
          <cell r="BE30">
            <v>401000</v>
          </cell>
          <cell r="BG30">
            <v>195480</v>
          </cell>
          <cell r="BH30">
            <v>58032</v>
          </cell>
          <cell r="BI30">
            <v>1243800</v>
          </cell>
          <cell r="BJ30">
            <v>335376</v>
          </cell>
          <cell r="BK30">
            <v>7226500</v>
          </cell>
          <cell r="BL30">
            <v>7663700</v>
          </cell>
          <cell r="BM30">
            <v>63186</v>
          </cell>
          <cell r="BN30">
            <v>329280</v>
          </cell>
          <cell r="BO30">
            <v>142560</v>
          </cell>
          <cell r="BR30">
            <v>1159680</v>
          </cell>
          <cell r="BS30">
            <v>440160</v>
          </cell>
          <cell r="BT30">
            <v>428400</v>
          </cell>
          <cell r="BU30">
            <v>186840</v>
          </cell>
          <cell r="BV30">
            <v>621000</v>
          </cell>
          <cell r="BW30">
            <v>338240</v>
          </cell>
          <cell r="BX30">
            <v>363600</v>
          </cell>
          <cell r="BY30">
            <v>452880</v>
          </cell>
          <cell r="BZ30">
            <v>515520</v>
          </cell>
          <cell r="CA30">
            <v>652900</v>
          </cell>
          <cell r="CB30">
            <v>1744863</v>
          </cell>
          <cell r="CC30">
            <v>57000</v>
          </cell>
          <cell r="CD30">
            <v>299040</v>
          </cell>
          <cell r="CE30">
            <v>181440</v>
          </cell>
          <cell r="CF30">
            <v>955824</v>
          </cell>
          <cell r="CG30">
            <v>395040</v>
          </cell>
          <cell r="CH30">
            <v>439200</v>
          </cell>
          <cell r="CJ30">
            <v>0</v>
          </cell>
          <cell r="CK30">
            <v>859200</v>
          </cell>
          <cell r="CL30">
            <v>23641</v>
          </cell>
          <cell r="CM30">
            <v>669513</v>
          </cell>
          <cell r="CN30">
            <v>0</v>
          </cell>
          <cell r="CO30">
            <v>1243550</v>
          </cell>
          <cell r="CR30">
            <v>91003</v>
          </cell>
          <cell r="CS30">
            <v>6937135</v>
          </cell>
          <cell r="CT30">
            <v>1289280</v>
          </cell>
          <cell r="CU30">
            <v>0</v>
          </cell>
          <cell r="CX30">
            <v>1154280</v>
          </cell>
          <cell r="CY30">
            <v>605736</v>
          </cell>
          <cell r="CZ30">
            <v>990949</v>
          </cell>
          <cell r="DA30">
            <v>0</v>
          </cell>
          <cell r="DM30">
            <v>350400</v>
          </cell>
          <cell r="DO30">
            <v>876672</v>
          </cell>
          <cell r="DP30">
            <v>0</v>
          </cell>
          <cell r="DQ30">
            <v>53760</v>
          </cell>
          <cell r="DR30">
            <v>125454</v>
          </cell>
          <cell r="DS30">
            <v>8739000</v>
          </cell>
          <cell r="DT30">
            <v>956400</v>
          </cell>
          <cell r="DU30">
            <v>0</v>
          </cell>
          <cell r="DV30">
            <v>0</v>
          </cell>
          <cell r="DW30">
            <v>22582</v>
          </cell>
          <cell r="DX30">
            <v>0</v>
          </cell>
          <cell r="DY30">
            <v>196748</v>
          </cell>
          <cell r="DZ30">
            <v>408000</v>
          </cell>
          <cell r="EA30">
            <v>316440</v>
          </cell>
          <cell r="EB30">
            <v>0</v>
          </cell>
          <cell r="ED30">
            <v>459360</v>
          </cell>
          <cell r="EE30">
            <v>454145</v>
          </cell>
          <cell r="EF30">
            <v>22123636</v>
          </cell>
          <cell r="EG30">
            <v>207528333</v>
          </cell>
          <cell r="EH30">
            <v>0</v>
          </cell>
          <cell r="EJ30">
            <v>135286365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95040</v>
          </cell>
          <cell r="ES30">
            <v>537120</v>
          </cell>
          <cell r="ET30">
            <v>7389091</v>
          </cell>
          <cell r="EU30">
            <v>0</v>
          </cell>
          <cell r="EV30">
            <v>546480</v>
          </cell>
          <cell r="EW30">
            <v>8967273</v>
          </cell>
          <cell r="EX30">
            <v>44400</v>
          </cell>
          <cell r="EY30">
            <v>5180550</v>
          </cell>
          <cell r="EZ30">
            <v>4974500</v>
          </cell>
          <cell r="FA30">
            <v>0</v>
          </cell>
          <cell r="FB30">
            <v>2986000</v>
          </cell>
          <cell r="FC30">
            <v>4800000</v>
          </cell>
          <cell r="FD30">
            <v>3755</v>
          </cell>
          <cell r="FE30">
            <v>329250</v>
          </cell>
          <cell r="FF30">
            <v>3130000</v>
          </cell>
          <cell r="FG30">
            <v>136914</v>
          </cell>
          <cell r="FH30">
            <v>16656000</v>
          </cell>
          <cell r="FI30">
            <v>19242909</v>
          </cell>
          <cell r="FJ30">
            <v>29824</v>
          </cell>
          <cell r="FK30">
            <v>26165000</v>
          </cell>
          <cell r="FL30">
            <v>23195400</v>
          </cell>
          <cell r="FM30">
            <v>20647440</v>
          </cell>
          <cell r="FN30">
            <v>519444</v>
          </cell>
        </row>
        <row r="33">
          <cell r="E33" t="str">
            <v xml:space="preserve">                                                              </v>
          </cell>
          <cell r="EG33"/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O448"/>
  <sheetViews>
    <sheetView zoomScale="115" zoomScaleNormal="115" zoomScaleSheetLayoutView="85" workbookViewId="0">
      <selection activeCell="N247" sqref="N247"/>
    </sheetView>
  </sheetViews>
  <sheetFormatPr defaultRowHeight="15" x14ac:dyDescent="0.25"/>
  <cols>
    <col min="1" max="1" width="4.7109375" customWidth="1"/>
    <col min="2" max="2" width="38.42578125" customWidth="1"/>
    <col min="3" max="3" width="9.42578125" customWidth="1"/>
    <col min="4" max="4" width="12.140625" customWidth="1"/>
    <col min="5" max="5" width="15.5703125" customWidth="1"/>
    <col min="6" max="6" width="9.5703125" customWidth="1"/>
    <col min="7" max="7" width="10.7109375" customWidth="1"/>
    <col min="8" max="13" width="12.7109375" customWidth="1"/>
    <col min="14" max="14" width="12.5703125" customWidth="1"/>
    <col min="15" max="15" width="32.140625" customWidth="1"/>
  </cols>
  <sheetData>
    <row r="1" spans="1:15" ht="21" customHeight="1" x14ac:dyDescent="0.25">
      <c r="A1" s="62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5" ht="35.1" customHeight="1" x14ac:dyDescent="0.25">
      <c r="A2" s="2"/>
      <c r="B2" s="2"/>
      <c r="C2" s="82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2"/>
    </row>
    <row r="3" spans="1:15" ht="30" customHeight="1" x14ac:dyDescent="0.25">
      <c r="A3" s="2"/>
      <c r="B3" s="2"/>
      <c r="C3" s="70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2"/>
    </row>
    <row r="4" spans="1:15" ht="30" customHeight="1" x14ac:dyDescent="0.25">
      <c r="A4" s="2"/>
      <c r="B4" s="2"/>
      <c r="C4" s="70" t="s">
        <v>2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2"/>
    </row>
    <row r="5" spans="1:15" ht="20.25" customHeight="1" x14ac:dyDescent="0.2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5" ht="18.75" customHeight="1" thickBot="1" x14ac:dyDescent="0.3">
      <c r="A6" s="4"/>
      <c r="B6" s="7" t="s">
        <v>3</v>
      </c>
      <c r="C6" s="76" t="s">
        <v>4</v>
      </c>
      <c r="D6" s="63"/>
      <c r="E6" s="1"/>
      <c r="F6" s="1"/>
      <c r="G6" s="1"/>
      <c r="H6" s="1"/>
      <c r="I6" s="1"/>
      <c r="J6" s="1"/>
      <c r="K6" s="1"/>
      <c r="L6" s="1"/>
      <c r="M6" s="1"/>
      <c r="N6" s="5"/>
    </row>
    <row r="7" spans="1:15" ht="15" customHeight="1" thickBot="1" x14ac:dyDescent="0.3">
      <c r="A7" s="65" t="s">
        <v>5</v>
      </c>
      <c r="B7" s="71" t="s">
        <v>6</v>
      </c>
      <c r="C7" s="72" t="s">
        <v>7</v>
      </c>
      <c r="D7" s="64" t="s">
        <v>8</v>
      </c>
      <c r="E7" s="64" t="s">
        <v>9</v>
      </c>
      <c r="F7" s="77"/>
      <c r="G7" s="68" t="s">
        <v>10</v>
      </c>
      <c r="H7" s="75" t="s">
        <v>11</v>
      </c>
      <c r="I7" s="61"/>
      <c r="J7" s="75" t="s">
        <v>12</v>
      </c>
      <c r="K7" s="61"/>
      <c r="L7" s="75" t="s">
        <v>13</v>
      </c>
      <c r="M7" s="61"/>
      <c r="N7" s="64" t="s">
        <v>14</v>
      </c>
      <c r="O7" s="77"/>
    </row>
    <row r="8" spans="1:15" ht="15" customHeight="1" thickBot="1" x14ac:dyDescent="0.3">
      <c r="A8" s="66"/>
      <c r="B8" s="66"/>
      <c r="C8" s="73"/>
      <c r="D8" s="66"/>
      <c r="E8" s="73"/>
      <c r="F8" s="78"/>
      <c r="G8" s="66"/>
      <c r="H8" s="11" t="s">
        <v>15</v>
      </c>
      <c r="I8" s="10" t="s">
        <v>16</v>
      </c>
      <c r="J8" s="12" t="str">
        <f>C6</f>
        <v>12-05-2025</v>
      </c>
      <c r="K8" s="10" t="s">
        <v>16</v>
      </c>
      <c r="L8" s="12" t="str">
        <f>J8</f>
        <v>12-05-2025</v>
      </c>
      <c r="M8" s="10" t="s">
        <v>16</v>
      </c>
      <c r="N8" s="73"/>
      <c r="O8" s="78"/>
    </row>
    <row r="9" spans="1:15" ht="15.75" customHeight="1" thickBot="1" x14ac:dyDescent="0.3">
      <c r="A9" s="66"/>
      <c r="B9" s="69"/>
      <c r="C9" s="74"/>
      <c r="D9" s="67"/>
      <c r="E9" s="79"/>
      <c r="F9" s="80"/>
      <c r="G9" s="69"/>
      <c r="H9" s="24" t="s">
        <v>17</v>
      </c>
      <c r="I9" s="24" t="s">
        <v>18</v>
      </c>
      <c r="J9" s="24" t="s">
        <v>17</v>
      </c>
      <c r="K9" s="24" t="s">
        <v>18</v>
      </c>
      <c r="L9" s="24" t="s">
        <v>17</v>
      </c>
      <c r="M9" s="24" t="s">
        <v>18</v>
      </c>
      <c r="N9" s="79"/>
      <c r="O9" s="80"/>
    </row>
    <row r="10" spans="1:15" ht="18.75" customHeight="1" thickBot="1" x14ac:dyDescent="0.3">
      <c r="A10" s="6"/>
      <c r="B10" s="64"/>
      <c r="C10" s="61"/>
      <c r="D10" s="25"/>
      <c r="E10" s="8" t="s">
        <v>19</v>
      </c>
      <c r="F10" s="9" t="s">
        <v>20</v>
      </c>
      <c r="G10" s="9" t="s">
        <v>20</v>
      </c>
      <c r="H10" s="25" t="s">
        <v>20</v>
      </c>
      <c r="I10" s="25" t="s">
        <v>20</v>
      </c>
      <c r="J10" s="25" t="s">
        <v>20</v>
      </c>
      <c r="K10" s="25" t="s">
        <v>20</v>
      </c>
      <c r="L10" s="25" t="s">
        <v>20</v>
      </c>
      <c r="M10" s="25" t="s">
        <v>20</v>
      </c>
      <c r="N10" s="81"/>
      <c r="O10" s="61"/>
    </row>
    <row r="11" spans="1:15" ht="18" customHeight="1" x14ac:dyDescent="0.25">
      <c r="A11" s="26" t="s">
        <v>21</v>
      </c>
      <c r="B11" s="27" t="s">
        <v>22</v>
      </c>
      <c r="C11" s="26" t="s">
        <v>23</v>
      </c>
      <c r="D11" s="26" t="s">
        <v>24</v>
      </c>
      <c r="E11" s="26" t="s">
        <v>25</v>
      </c>
      <c r="F11" s="26">
        <v>260</v>
      </c>
      <c r="G11" s="26">
        <v>260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97" t="s">
        <v>26</v>
      </c>
      <c r="O11" s="98"/>
    </row>
    <row r="12" spans="1:15" ht="18" customHeight="1" x14ac:dyDescent="0.25">
      <c r="A12" s="26" t="s">
        <v>27</v>
      </c>
      <c r="B12" s="27" t="s">
        <v>28</v>
      </c>
      <c r="C12" s="26" t="s">
        <v>23</v>
      </c>
      <c r="D12" s="26" t="s">
        <v>24</v>
      </c>
      <c r="E12" s="26" t="s">
        <v>29</v>
      </c>
      <c r="F12" s="26">
        <v>210</v>
      </c>
      <c r="G12" s="26">
        <v>240</v>
      </c>
      <c r="H12" s="26">
        <v>0</v>
      </c>
      <c r="I12" s="26">
        <v>0</v>
      </c>
      <c r="J12" s="26">
        <v>230</v>
      </c>
      <c r="K12" s="26">
        <v>230</v>
      </c>
      <c r="L12" s="26">
        <v>0.01</v>
      </c>
      <c r="M12" s="26">
        <v>0.01</v>
      </c>
      <c r="N12" s="97" t="s">
        <v>30</v>
      </c>
      <c r="O12" s="98"/>
    </row>
    <row r="13" spans="1:15" ht="18" customHeight="1" x14ac:dyDescent="0.25">
      <c r="A13" s="26"/>
      <c r="B13" s="27" t="s">
        <v>31</v>
      </c>
      <c r="C13" s="26" t="s">
        <v>23</v>
      </c>
      <c r="D13" s="26" t="s">
        <v>24</v>
      </c>
      <c r="E13" s="26" t="s">
        <v>29</v>
      </c>
      <c r="F13" s="26">
        <v>210</v>
      </c>
      <c r="G13" s="26">
        <v>174.8</v>
      </c>
      <c r="H13" s="26">
        <v>0</v>
      </c>
      <c r="I13" s="26">
        <v>0</v>
      </c>
      <c r="J13" s="26">
        <v>174.8</v>
      </c>
      <c r="K13" s="26">
        <v>174.8</v>
      </c>
      <c r="L13" s="26">
        <v>0.01</v>
      </c>
      <c r="M13" s="26">
        <v>0.01</v>
      </c>
      <c r="N13" s="97" t="s">
        <v>30</v>
      </c>
      <c r="O13" s="98"/>
    </row>
    <row r="14" spans="1:15" ht="18" customHeight="1" x14ac:dyDescent="0.25">
      <c r="A14" s="26" t="s">
        <v>32</v>
      </c>
      <c r="B14" s="27" t="s">
        <v>33</v>
      </c>
      <c r="C14" s="26" t="s">
        <v>23</v>
      </c>
      <c r="D14" s="26" t="s">
        <v>24</v>
      </c>
      <c r="E14" s="26" t="s">
        <v>34</v>
      </c>
      <c r="F14" s="26">
        <v>365</v>
      </c>
      <c r="G14" s="26">
        <v>365</v>
      </c>
      <c r="H14" s="26">
        <v>0</v>
      </c>
      <c r="I14" s="26">
        <v>0</v>
      </c>
      <c r="J14" s="26">
        <v>260</v>
      </c>
      <c r="K14" s="26">
        <v>260</v>
      </c>
      <c r="L14" s="26">
        <v>0.01</v>
      </c>
      <c r="M14" s="26">
        <v>0.01</v>
      </c>
      <c r="N14" s="97" t="s">
        <v>35</v>
      </c>
      <c r="O14" s="98"/>
    </row>
    <row r="15" spans="1:15" ht="18" customHeight="1" x14ac:dyDescent="0.25">
      <c r="A15" s="26" t="s">
        <v>36</v>
      </c>
      <c r="B15" s="27" t="s">
        <v>37</v>
      </c>
      <c r="C15" s="26" t="s">
        <v>23</v>
      </c>
      <c r="D15" s="26" t="s">
        <v>38</v>
      </c>
      <c r="E15" s="26" t="s">
        <v>39</v>
      </c>
      <c r="F15" s="26">
        <v>108</v>
      </c>
      <c r="G15" s="26">
        <v>97.7</v>
      </c>
      <c r="H15" s="26">
        <v>0</v>
      </c>
      <c r="I15" s="26">
        <v>0</v>
      </c>
      <c r="J15" s="26">
        <v>97.7</v>
      </c>
      <c r="K15" s="26">
        <v>97.7</v>
      </c>
      <c r="L15" s="26">
        <v>0.01</v>
      </c>
      <c r="M15" s="26">
        <v>0.01</v>
      </c>
      <c r="N15" s="97" t="s">
        <v>40</v>
      </c>
      <c r="O15" s="98"/>
    </row>
    <row r="16" spans="1:15" ht="18" customHeight="1" x14ac:dyDescent="0.25">
      <c r="A16" s="26" t="s">
        <v>41</v>
      </c>
      <c r="B16" s="27" t="s">
        <v>42</v>
      </c>
      <c r="C16" s="26" t="s">
        <v>23</v>
      </c>
      <c r="D16" s="26" t="s">
        <v>43</v>
      </c>
      <c r="E16" s="26" t="s">
        <v>44</v>
      </c>
      <c r="F16" s="26">
        <v>32</v>
      </c>
      <c r="G16" s="26">
        <v>40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97" t="s">
        <v>45</v>
      </c>
      <c r="O16" s="98"/>
    </row>
    <row r="17" spans="1:15" ht="18" customHeight="1" x14ac:dyDescent="0.25">
      <c r="A17" s="26" t="s">
        <v>46</v>
      </c>
      <c r="B17" s="27" t="s">
        <v>47</v>
      </c>
      <c r="C17" s="26" t="s">
        <v>23</v>
      </c>
      <c r="D17" s="26" t="s">
        <v>48</v>
      </c>
      <c r="E17" s="26" t="s">
        <v>49</v>
      </c>
      <c r="F17" s="26">
        <v>412</v>
      </c>
      <c r="G17" s="26">
        <v>400.75</v>
      </c>
      <c r="H17" s="26">
        <v>364</v>
      </c>
      <c r="I17" s="26">
        <v>341</v>
      </c>
      <c r="J17" s="26">
        <v>400.75</v>
      </c>
      <c r="K17" s="26">
        <v>400.75</v>
      </c>
      <c r="L17" s="26">
        <v>400.75</v>
      </c>
      <c r="M17" s="26">
        <v>400.75</v>
      </c>
      <c r="N17" s="97" t="s">
        <v>45</v>
      </c>
      <c r="O17" s="98"/>
    </row>
    <row r="18" spans="1:15" ht="18" customHeight="1" x14ac:dyDescent="0.25">
      <c r="A18" s="28"/>
      <c r="B18" s="29" t="s">
        <v>50</v>
      </c>
      <c r="C18" s="28" t="s">
        <v>23</v>
      </c>
      <c r="D18" s="28" t="s">
        <v>38</v>
      </c>
      <c r="E18" s="28" t="s">
        <v>51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99" t="s">
        <v>52</v>
      </c>
      <c r="O18" s="98"/>
    </row>
    <row r="19" spans="1:15" ht="18" customHeight="1" x14ac:dyDescent="0.25">
      <c r="A19" s="26" t="s">
        <v>53</v>
      </c>
      <c r="B19" s="27" t="s">
        <v>54</v>
      </c>
      <c r="C19" s="26" t="s">
        <v>23</v>
      </c>
      <c r="D19" s="26" t="s">
        <v>38</v>
      </c>
      <c r="E19" s="26" t="s">
        <v>55</v>
      </c>
      <c r="F19" s="26">
        <v>450</v>
      </c>
      <c r="G19" s="26">
        <v>450</v>
      </c>
      <c r="H19" s="26">
        <v>300</v>
      </c>
      <c r="I19" s="26">
        <v>300</v>
      </c>
      <c r="J19" s="26">
        <v>450</v>
      </c>
      <c r="K19" s="26">
        <v>450</v>
      </c>
      <c r="L19" s="26">
        <v>351</v>
      </c>
      <c r="M19" s="26">
        <v>351</v>
      </c>
      <c r="N19" s="97" t="s">
        <v>30</v>
      </c>
      <c r="O19" s="98"/>
    </row>
    <row r="20" spans="1:15" ht="18" customHeight="1" x14ac:dyDescent="0.25">
      <c r="A20" s="26" t="s">
        <v>56</v>
      </c>
      <c r="B20" s="27" t="s">
        <v>57</v>
      </c>
      <c r="C20" s="26" t="s">
        <v>23</v>
      </c>
      <c r="D20" s="26" t="s">
        <v>38</v>
      </c>
      <c r="E20" s="26" t="s">
        <v>58</v>
      </c>
      <c r="F20" s="26">
        <v>335</v>
      </c>
      <c r="G20" s="26">
        <v>335</v>
      </c>
      <c r="H20" s="26">
        <v>292</v>
      </c>
      <c r="I20" s="26">
        <v>290</v>
      </c>
      <c r="J20" s="26">
        <v>335</v>
      </c>
      <c r="K20" s="26">
        <v>335</v>
      </c>
      <c r="L20" s="26">
        <v>301.5</v>
      </c>
      <c r="M20" s="26">
        <v>301.5</v>
      </c>
      <c r="N20" s="97" t="s">
        <v>59</v>
      </c>
      <c r="O20" s="98"/>
    </row>
    <row r="21" spans="1:15" ht="18" customHeight="1" x14ac:dyDescent="0.25">
      <c r="A21" s="26" t="s">
        <v>60</v>
      </c>
      <c r="B21" s="27" t="s">
        <v>61</v>
      </c>
      <c r="C21" s="26" t="s">
        <v>62</v>
      </c>
      <c r="D21" s="26" t="s">
        <v>38</v>
      </c>
      <c r="E21" s="26" t="s">
        <v>63</v>
      </c>
      <c r="F21" s="26">
        <v>55</v>
      </c>
      <c r="G21" s="26">
        <v>55</v>
      </c>
      <c r="H21" s="26">
        <v>50</v>
      </c>
      <c r="I21" s="26">
        <v>0</v>
      </c>
      <c r="J21" s="26">
        <v>55</v>
      </c>
      <c r="K21" s="26">
        <v>55</v>
      </c>
      <c r="L21" s="26">
        <v>55</v>
      </c>
      <c r="M21" s="26">
        <v>55</v>
      </c>
      <c r="N21" s="97" t="s">
        <v>45</v>
      </c>
      <c r="O21" s="98"/>
    </row>
    <row r="22" spans="1:15" ht="18" customHeight="1" x14ac:dyDescent="0.25">
      <c r="A22" s="28" t="s">
        <v>64</v>
      </c>
      <c r="B22" s="29" t="s">
        <v>65</v>
      </c>
      <c r="C22" s="28" t="s">
        <v>62</v>
      </c>
      <c r="D22" s="28" t="s">
        <v>66</v>
      </c>
      <c r="E22" s="28" t="s">
        <v>67</v>
      </c>
      <c r="F22" s="28">
        <v>100</v>
      </c>
      <c r="G22" s="28">
        <v>75.239999999999995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99" t="s">
        <v>52</v>
      </c>
      <c r="O22" s="98"/>
    </row>
    <row r="23" spans="1:15" ht="18" customHeight="1" x14ac:dyDescent="0.25">
      <c r="A23" s="28" t="s">
        <v>68</v>
      </c>
      <c r="B23" s="29" t="s">
        <v>69</v>
      </c>
      <c r="C23" s="28" t="s">
        <v>23</v>
      </c>
      <c r="D23" s="28" t="s">
        <v>70</v>
      </c>
      <c r="E23" s="28" t="s">
        <v>71</v>
      </c>
      <c r="F23" s="28">
        <v>22</v>
      </c>
      <c r="G23" s="28">
        <v>22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99" t="s">
        <v>52</v>
      </c>
      <c r="O23" s="98"/>
    </row>
    <row r="24" spans="1:15" ht="18" customHeight="1" x14ac:dyDescent="0.25">
      <c r="A24" s="26" t="s">
        <v>72</v>
      </c>
      <c r="B24" s="27" t="s">
        <v>73</v>
      </c>
      <c r="C24" s="26" t="s">
        <v>23</v>
      </c>
      <c r="D24" s="26" t="s">
        <v>24</v>
      </c>
      <c r="E24" s="26" t="s">
        <v>29</v>
      </c>
      <c r="F24" s="26">
        <v>210</v>
      </c>
      <c r="G24" s="26">
        <v>93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97" t="s">
        <v>74</v>
      </c>
      <c r="O24" s="98"/>
    </row>
    <row r="25" spans="1:15" ht="18" customHeight="1" x14ac:dyDescent="0.25">
      <c r="A25" s="26" t="s">
        <v>75</v>
      </c>
      <c r="B25" s="27" t="s">
        <v>76</v>
      </c>
      <c r="C25" s="26" t="s">
        <v>23</v>
      </c>
      <c r="D25" s="26" t="s">
        <v>48</v>
      </c>
      <c r="E25" s="26" t="s">
        <v>77</v>
      </c>
      <c r="F25" s="26">
        <v>210</v>
      </c>
      <c r="G25" s="26">
        <v>210</v>
      </c>
      <c r="H25" s="26">
        <v>0</v>
      </c>
      <c r="I25" s="26">
        <v>0</v>
      </c>
      <c r="J25" s="26">
        <v>208.13</v>
      </c>
      <c r="K25" s="26">
        <v>208.13</v>
      </c>
      <c r="L25" s="26">
        <v>0</v>
      </c>
      <c r="M25" s="26">
        <v>0</v>
      </c>
      <c r="N25" s="97" t="s">
        <v>78</v>
      </c>
      <c r="O25" s="98"/>
    </row>
    <row r="26" spans="1:15" ht="18" customHeight="1" x14ac:dyDescent="0.25">
      <c r="A26" s="26" t="s">
        <v>79</v>
      </c>
      <c r="B26" s="27" t="s">
        <v>80</v>
      </c>
      <c r="C26" s="26" t="s">
        <v>23</v>
      </c>
      <c r="D26" s="26" t="s">
        <v>48</v>
      </c>
      <c r="E26" s="26" t="s">
        <v>81</v>
      </c>
      <c r="F26" s="26">
        <v>335</v>
      </c>
      <c r="G26" s="26">
        <v>335</v>
      </c>
      <c r="H26" s="26">
        <v>250</v>
      </c>
      <c r="I26" s="26">
        <v>268</v>
      </c>
      <c r="J26" s="26">
        <v>335</v>
      </c>
      <c r="K26" s="26">
        <v>335</v>
      </c>
      <c r="L26" s="26">
        <v>335</v>
      </c>
      <c r="M26" s="26">
        <v>335</v>
      </c>
      <c r="N26" s="97" t="s">
        <v>45</v>
      </c>
      <c r="O26" s="98"/>
    </row>
    <row r="27" spans="1:15" ht="18" customHeight="1" x14ac:dyDescent="0.25">
      <c r="A27" s="26" t="s">
        <v>82</v>
      </c>
      <c r="B27" s="27" t="s">
        <v>83</v>
      </c>
      <c r="C27" s="26" t="s">
        <v>62</v>
      </c>
      <c r="D27" s="26" t="s">
        <v>38</v>
      </c>
      <c r="E27" s="26" t="s">
        <v>84</v>
      </c>
      <c r="F27" s="26">
        <v>102</v>
      </c>
      <c r="G27" s="26">
        <v>102</v>
      </c>
      <c r="H27" s="26">
        <v>8</v>
      </c>
      <c r="I27" s="26">
        <v>0</v>
      </c>
      <c r="J27" s="26">
        <v>8</v>
      </c>
      <c r="K27" s="26">
        <v>102</v>
      </c>
      <c r="L27" s="26">
        <v>8</v>
      </c>
      <c r="M27" s="26">
        <v>102</v>
      </c>
      <c r="N27" s="97"/>
      <c r="O27" s="98"/>
    </row>
    <row r="28" spans="1:15" ht="18" customHeight="1" x14ac:dyDescent="0.25">
      <c r="A28" s="26" t="s">
        <v>86</v>
      </c>
      <c r="B28" s="27" t="s">
        <v>87</v>
      </c>
      <c r="C28" s="26" t="s">
        <v>62</v>
      </c>
      <c r="D28" s="26" t="s">
        <v>38</v>
      </c>
      <c r="E28" s="26" t="s">
        <v>88</v>
      </c>
      <c r="F28" s="26">
        <v>54</v>
      </c>
      <c r="G28" s="26">
        <v>53.97</v>
      </c>
      <c r="H28" s="26">
        <v>17</v>
      </c>
      <c r="I28" s="26">
        <v>54</v>
      </c>
      <c r="J28" s="26">
        <v>53.97</v>
      </c>
      <c r="K28" s="26">
        <v>53.97</v>
      </c>
      <c r="L28" s="26">
        <v>53.97</v>
      </c>
      <c r="M28" s="26">
        <v>53.97</v>
      </c>
      <c r="N28" s="97" t="s">
        <v>45</v>
      </c>
      <c r="O28" s="98"/>
    </row>
    <row r="29" spans="1:15" ht="18" customHeight="1" x14ac:dyDescent="0.25">
      <c r="A29" s="26" t="s">
        <v>89</v>
      </c>
      <c r="B29" s="27" t="s">
        <v>90</v>
      </c>
      <c r="C29" s="26" t="s">
        <v>62</v>
      </c>
      <c r="D29" s="26" t="s">
        <v>91</v>
      </c>
      <c r="E29" s="26" t="s">
        <v>92</v>
      </c>
      <c r="F29" s="26">
        <v>149</v>
      </c>
      <c r="G29" s="26">
        <v>149.36000000000001</v>
      </c>
      <c r="H29" s="26">
        <v>78</v>
      </c>
      <c r="I29" s="26">
        <v>147</v>
      </c>
      <c r="J29" s="26">
        <v>149.36000000000001</v>
      </c>
      <c r="K29" s="26">
        <v>149.36000000000001</v>
      </c>
      <c r="L29" s="26">
        <v>149.36000000000001</v>
      </c>
      <c r="M29" s="26">
        <v>149.36000000000001</v>
      </c>
      <c r="N29" s="97" t="s">
        <v>45</v>
      </c>
      <c r="O29" s="98"/>
    </row>
    <row r="30" spans="1:15" ht="18" customHeight="1" x14ac:dyDescent="0.25">
      <c r="A30" s="26" t="s">
        <v>89</v>
      </c>
      <c r="B30" s="27" t="s">
        <v>93</v>
      </c>
      <c r="C30" s="26" t="s">
        <v>62</v>
      </c>
      <c r="D30" s="26" t="s">
        <v>38</v>
      </c>
      <c r="E30" s="26" t="s">
        <v>94</v>
      </c>
      <c r="F30" s="26">
        <v>55</v>
      </c>
      <c r="G30" s="26">
        <v>55</v>
      </c>
      <c r="H30" s="26">
        <v>35</v>
      </c>
      <c r="I30" s="26">
        <v>35</v>
      </c>
      <c r="J30" s="26">
        <v>55</v>
      </c>
      <c r="K30" s="26">
        <v>55</v>
      </c>
      <c r="L30" s="26">
        <v>35</v>
      </c>
      <c r="M30" s="26">
        <v>35</v>
      </c>
      <c r="N30" s="97" t="s">
        <v>85</v>
      </c>
      <c r="O30" s="98"/>
    </row>
    <row r="31" spans="1:15" ht="18" customHeight="1" x14ac:dyDescent="0.25">
      <c r="A31" s="26" t="s">
        <v>95</v>
      </c>
      <c r="B31" s="27" t="s">
        <v>96</v>
      </c>
      <c r="C31" s="26" t="s">
        <v>62</v>
      </c>
      <c r="D31" s="26" t="s">
        <v>38</v>
      </c>
      <c r="E31" s="26" t="s">
        <v>94</v>
      </c>
      <c r="F31" s="26">
        <v>55</v>
      </c>
      <c r="G31" s="26">
        <v>55</v>
      </c>
      <c r="H31" s="26">
        <v>17</v>
      </c>
      <c r="I31" s="26">
        <v>35</v>
      </c>
      <c r="J31" s="26">
        <v>55</v>
      </c>
      <c r="K31" s="26">
        <v>55</v>
      </c>
      <c r="L31" s="26">
        <v>35</v>
      </c>
      <c r="M31" s="26">
        <v>35</v>
      </c>
      <c r="N31" s="97" t="s">
        <v>85</v>
      </c>
      <c r="O31" s="98"/>
    </row>
    <row r="32" spans="1:15" ht="18" customHeight="1" x14ac:dyDescent="0.25">
      <c r="A32" s="26" t="s">
        <v>97</v>
      </c>
      <c r="B32" s="27" t="s">
        <v>98</v>
      </c>
      <c r="C32" s="26" t="s">
        <v>23</v>
      </c>
      <c r="D32" s="26" t="s">
        <v>38</v>
      </c>
      <c r="E32" s="26"/>
      <c r="F32" s="26">
        <v>80</v>
      </c>
      <c r="G32" s="26">
        <v>33.75</v>
      </c>
      <c r="H32" s="26">
        <v>21</v>
      </c>
      <c r="I32" s="26">
        <v>17.5</v>
      </c>
      <c r="J32" s="26">
        <v>30</v>
      </c>
      <c r="K32" s="26">
        <v>30</v>
      </c>
      <c r="L32" s="26">
        <v>30</v>
      </c>
      <c r="M32" s="26">
        <v>30</v>
      </c>
      <c r="N32" s="97" t="s">
        <v>99</v>
      </c>
      <c r="O32" s="98"/>
    </row>
    <row r="33" spans="1:15" ht="18" customHeight="1" x14ac:dyDescent="0.25">
      <c r="A33" s="26" t="s">
        <v>97</v>
      </c>
      <c r="B33" s="27" t="s">
        <v>100</v>
      </c>
      <c r="C33" s="26" t="s">
        <v>23</v>
      </c>
      <c r="D33" s="26" t="s">
        <v>38</v>
      </c>
      <c r="E33" s="26" t="s">
        <v>101</v>
      </c>
      <c r="F33" s="26">
        <v>80</v>
      </c>
      <c r="G33" s="26">
        <v>23</v>
      </c>
      <c r="H33" s="26">
        <v>20</v>
      </c>
      <c r="I33" s="26">
        <v>21</v>
      </c>
      <c r="J33" s="26">
        <v>22</v>
      </c>
      <c r="K33" s="26">
        <v>22</v>
      </c>
      <c r="L33" s="26">
        <v>22</v>
      </c>
      <c r="M33" s="26">
        <v>22</v>
      </c>
      <c r="N33" s="97" t="s">
        <v>45</v>
      </c>
      <c r="O33" s="98"/>
    </row>
    <row r="34" spans="1:15" ht="18" customHeight="1" x14ac:dyDescent="0.25">
      <c r="A34" s="26" t="s">
        <v>102</v>
      </c>
      <c r="B34" s="27" t="s">
        <v>103</v>
      </c>
      <c r="C34" s="26" t="s">
        <v>23</v>
      </c>
      <c r="D34" s="26" t="s">
        <v>38</v>
      </c>
      <c r="E34" s="26" t="s">
        <v>104</v>
      </c>
      <c r="F34" s="26">
        <v>33</v>
      </c>
      <c r="G34" s="26">
        <v>33</v>
      </c>
      <c r="H34" s="26">
        <v>0</v>
      </c>
      <c r="I34" s="26">
        <v>0</v>
      </c>
      <c r="J34" s="26">
        <v>33</v>
      </c>
      <c r="K34" s="26">
        <v>33</v>
      </c>
      <c r="L34" s="26">
        <v>0</v>
      </c>
      <c r="M34" s="26">
        <v>0</v>
      </c>
      <c r="N34" s="97" t="s">
        <v>45</v>
      </c>
      <c r="O34" s="98"/>
    </row>
    <row r="35" spans="1:15" ht="18" customHeight="1" x14ac:dyDescent="0.25">
      <c r="A35" s="26" t="s">
        <v>105</v>
      </c>
      <c r="B35" s="27" t="s">
        <v>106</v>
      </c>
      <c r="C35" s="26" t="s">
        <v>23</v>
      </c>
      <c r="D35" s="26" t="s">
        <v>38</v>
      </c>
      <c r="E35" s="26" t="s">
        <v>104</v>
      </c>
      <c r="F35" s="26">
        <v>33</v>
      </c>
      <c r="G35" s="26">
        <v>33</v>
      </c>
      <c r="H35" s="26">
        <v>0</v>
      </c>
      <c r="I35" s="26">
        <v>0</v>
      </c>
      <c r="J35" s="26">
        <v>33</v>
      </c>
      <c r="K35" s="26">
        <v>33</v>
      </c>
      <c r="L35" s="26">
        <v>0</v>
      </c>
      <c r="M35" s="26">
        <v>0</v>
      </c>
      <c r="N35" s="97" t="s">
        <v>45</v>
      </c>
      <c r="O35" s="98"/>
    </row>
    <row r="36" spans="1:15" ht="18" customHeight="1" x14ac:dyDescent="0.25">
      <c r="A36" s="26" t="s">
        <v>107</v>
      </c>
      <c r="B36" s="27" t="s">
        <v>108</v>
      </c>
      <c r="C36" s="26" t="s">
        <v>62</v>
      </c>
      <c r="D36" s="26" t="s">
        <v>109</v>
      </c>
      <c r="E36" s="26" t="s">
        <v>110</v>
      </c>
      <c r="F36" s="26">
        <v>52</v>
      </c>
      <c r="G36" s="26">
        <v>52.194000000000003</v>
      </c>
      <c r="H36" s="26">
        <v>30</v>
      </c>
      <c r="I36" s="26">
        <v>25</v>
      </c>
      <c r="J36" s="26">
        <v>52.19</v>
      </c>
      <c r="K36" s="26">
        <v>52.19</v>
      </c>
      <c r="L36" s="26">
        <v>25</v>
      </c>
      <c r="M36" s="26">
        <v>25</v>
      </c>
      <c r="N36" s="97" t="s">
        <v>85</v>
      </c>
      <c r="O36" s="98"/>
    </row>
    <row r="37" spans="1:15" ht="18" customHeight="1" x14ac:dyDescent="0.25">
      <c r="A37" s="26" t="s">
        <v>111</v>
      </c>
      <c r="B37" s="27" t="s">
        <v>112</v>
      </c>
      <c r="C37" s="26" t="s">
        <v>23</v>
      </c>
      <c r="D37" s="26" t="s">
        <v>24</v>
      </c>
      <c r="E37" s="26" t="s">
        <v>113</v>
      </c>
      <c r="F37" s="26">
        <v>105</v>
      </c>
      <c r="G37" s="26">
        <v>105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97" t="s">
        <v>114</v>
      </c>
      <c r="O37" s="98"/>
    </row>
    <row r="38" spans="1:15" ht="18" customHeight="1" x14ac:dyDescent="0.25">
      <c r="A38" s="26" t="s">
        <v>115</v>
      </c>
      <c r="B38" s="27" t="s">
        <v>116</v>
      </c>
      <c r="C38" s="26" t="s">
        <v>62</v>
      </c>
      <c r="D38" s="26" t="s">
        <v>38</v>
      </c>
      <c r="E38" s="26" t="s">
        <v>117</v>
      </c>
      <c r="F38" s="26">
        <v>300</v>
      </c>
      <c r="G38" s="26">
        <v>300</v>
      </c>
      <c r="H38" s="26">
        <v>195</v>
      </c>
      <c r="I38" s="26">
        <v>15</v>
      </c>
      <c r="J38" s="26">
        <v>300</v>
      </c>
      <c r="K38" s="26">
        <v>300</v>
      </c>
      <c r="L38" s="26">
        <v>300</v>
      </c>
      <c r="M38" s="26">
        <v>300</v>
      </c>
      <c r="N38" s="97" t="s">
        <v>45</v>
      </c>
      <c r="O38" s="98"/>
    </row>
    <row r="39" spans="1:15" ht="18" customHeight="1" x14ac:dyDescent="0.25">
      <c r="A39" s="26" t="s">
        <v>118</v>
      </c>
      <c r="B39" s="27" t="s">
        <v>119</v>
      </c>
      <c r="C39" s="26" t="s">
        <v>62</v>
      </c>
      <c r="D39" s="26" t="s">
        <v>38</v>
      </c>
      <c r="E39" s="26" t="s">
        <v>120</v>
      </c>
      <c r="F39" s="26">
        <v>149</v>
      </c>
      <c r="G39" s="26">
        <v>149</v>
      </c>
      <c r="H39" s="26">
        <v>108</v>
      </c>
      <c r="I39" s="26">
        <v>112</v>
      </c>
      <c r="J39" s="26">
        <v>135</v>
      </c>
      <c r="K39" s="26">
        <v>135</v>
      </c>
      <c r="L39" s="26">
        <v>135</v>
      </c>
      <c r="M39" s="26">
        <v>135</v>
      </c>
      <c r="N39" s="97" t="s">
        <v>121</v>
      </c>
      <c r="O39" s="98"/>
    </row>
    <row r="40" spans="1:15" ht="18" customHeight="1" x14ac:dyDescent="0.25">
      <c r="A40" s="26" t="s">
        <v>122</v>
      </c>
      <c r="B40" s="27" t="s">
        <v>123</v>
      </c>
      <c r="C40" s="26" t="s">
        <v>62</v>
      </c>
      <c r="D40" s="26" t="s">
        <v>109</v>
      </c>
      <c r="E40" s="26" t="s">
        <v>124</v>
      </c>
      <c r="F40" s="26">
        <v>105</v>
      </c>
      <c r="G40" s="26">
        <v>105</v>
      </c>
      <c r="H40" s="26">
        <v>34</v>
      </c>
      <c r="I40" s="26">
        <v>52</v>
      </c>
      <c r="J40" s="26">
        <v>105</v>
      </c>
      <c r="K40" s="26">
        <v>105</v>
      </c>
      <c r="L40" s="26">
        <v>52</v>
      </c>
      <c r="M40" s="26">
        <v>52</v>
      </c>
      <c r="N40" s="97" t="s">
        <v>125</v>
      </c>
      <c r="O40" s="98"/>
    </row>
    <row r="41" spans="1:15" ht="18" customHeight="1" x14ac:dyDescent="0.25">
      <c r="A41" s="26" t="s">
        <v>126</v>
      </c>
      <c r="B41" s="27" t="s">
        <v>127</v>
      </c>
      <c r="C41" s="26" t="s">
        <v>62</v>
      </c>
      <c r="D41" s="26" t="s">
        <v>38</v>
      </c>
      <c r="E41" s="26" t="s">
        <v>128</v>
      </c>
      <c r="F41" s="26">
        <v>104</v>
      </c>
      <c r="G41" s="26">
        <v>104</v>
      </c>
      <c r="H41" s="26">
        <v>10</v>
      </c>
      <c r="I41" s="26">
        <v>67</v>
      </c>
      <c r="J41" s="26">
        <v>104</v>
      </c>
      <c r="K41" s="26">
        <v>104</v>
      </c>
      <c r="L41" s="26">
        <v>85</v>
      </c>
      <c r="M41" s="26">
        <v>85</v>
      </c>
      <c r="N41" s="97" t="s">
        <v>85</v>
      </c>
      <c r="O41" s="98"/>
    </row>
    <row r="42" spans="1:15" ht="18" customHeight="1" x14ac:dyDescent="0.25">
      <c r="A42" s="26" t="s">
        <v>129</v>
      </c>
      <c r="B42" s="27" t="s">
        <v>130</v>
      </c>
      <c r="C42" s="26" t="s">
        <v>62</v>
      </c>
      <c r="D42" s="26" t="s">
        <v>38</v>
      </c>
      <c r="E42" s="26" t="s">
        <v>131</v>
      </c>
      <c r="F42" s="26">
        <v>162</v>
      </c>
      <c r="G42" s="26">
        <v>162</v>
      </c>
      <c r="H42" s="26">
        <v>90</v>
      </c>
      <c r="I42" s="26">
        <v>90</v>
      </c>
      <c r="J42" s="26">
        <v>162</v>
      </c>
      <c r="K42" s="26">
        <v>162</v>
      </c>
      <c r="L42" s="26">
        <v>162</v>
      </c>
      <c r="M42" s="26">
        <v>162</v>
      </c>
      <c r="N42" s="97" t="s">
        <v>45</v>
      </c>
      <c r="O42" s="98"/>
    </row>
    <row r="43" spans="1:15" ht="18" customHeight="1" x14ac:dyDescent="0.25">
      <c r="A43" s="26" t="s">
        <v>132</v>
      </c>
      <c r="B43" s="27" t="s">
        <v>133</v>
      </c>
      <c r="C43" s="26" t="s">
        <v>134</v>
      </c>
      <c r="D43" s="26" t="s">
        <v>38</v>
      </c>
      <c r="E43" s="26"/>
      <c r="F43" s="26">
        <v>35</v>
      </c>
      <c r="G43" s="26">
        <v>35</v>
      </c>
      <c r="H43" s="26">
        <v>30</v>
      </c>
      <c r="I43" s="26">
        <v>0</v>
      </c>
      <c r="J43" s="26">
        <v>32</v>
      </c>
      <c r="K43" s="26">
        <v>0</v>
      </c>
      <c r="L43" s="26">
        <v>32</v>
      </c>
      <c r="M43" s="26">
        <v>0</v>
      </c>
      <c r="N43" s="97" t="s">
        <v>45</v>
      </c>
      <c r="O43" s="98"/>
    </row>
    <row r="44" spans="1:15" ht="18" customHeight="1" x14ac:dyDescent="0.25">
      <c r="A44" s="26" t="s">
        <v>135</v>
      </c>
      <c r="B44" s="27" t="s">
        <v>136</v>
      </c>
      <c r="C44" s="26" t="s">
        <v>62</v>
      </c>
      <c r="D44" s="26" t="s">
        <v>38</v>
      </c>
      <c r="E44" s="26" t="s">
        <v>137</v>
      </c>
      <c r="F44" s="26">
        <v>55</v>
      </c>
      <c r="G44" s="26">
        <v>55</v>
      </c>
      <c r="H44" s="26">
        <v>17</v>
      </c>
      <c r="I44" s="26">
        <v>17</v>
      </c>
      <c r="J44" s="26">
        <v>55</v>
      </c>
      <c r="K44" s="26">
        <v>55</v>
      </c>
      <c r="L44" s="26">
        <v>17</v>
      </c>
      <c r="M44" s="26">
        <v>17</v>
      </c>
      <c r="N44" s="97" t="s">
        <v>85</v>
      </c>
      <c r="O44" s="98"/>
    </row>
    <row r="45" spans="1:15" ht="18" customHeight="1" x14ac:dyDescent="0.25">
      <c r="A45" s="26" t="s">
        <v>138</v>
      </c>
      <c r="B45" s="27" t="s">
        <v>139</v>
      </c>
      <c r="C45" s="26" t="s">
        <v>23</v>
      </c>
      <c r="D45" s="26" t="s">
        <v>38</v>
      </c>
      <c r="E45" s="26"/>
      <c r="F45" s="26">
        <v>584</v>
      </c>
      <c r="G45" s="26">
        <v>584</v>
      </c>
      <c r="H45" s="26">
        <v>300</v>
      </c>
      <c r="I45" s="26">
        <v>300</v>
      </c>
      <c r="J45" s="26">
        <v>584</v>
      </c>
      <c r="K45" s="26">
        <v>584</v>
      </c>
      <c r="L45" s="26">
        <v>300</v>
      </c>
      <c r="M45" s="26">
        <v>300</v>
      </c>
      <c r="N45" s="97" t="s">
        <v>30</v>
      </c>
      <c r="O45" s="98"/>
    </row>
    <row r="46" spans="1:15" ht="18" customHeight="1" x14ac:dyDescent="0.25">
      <c r="A46" s="26" t="s">
        <v>140</v>
      </c>
      <c r="B46" s="27" t="s">
        <v>141</v>
      </c>
      <c r="C46" s="26" t="s">
        <v>142</v>
      </c>
      <c r="D46" s="26" t="s">
        <v>38</v>
      </c>
      <c r="E46" s="26"/>
      <c r="F46" s="26">
        <v>583</v>
      </c>
      <c r="G46" s="26">
        <v>583</v>
      </c>
      <c r="H46" s="26">
        <v>250</v>
      </c>
      <c r="I46" s="26">
        <v>250</v>
      </c>
      <c r="J46" s="26">
        <v>583</v>
      </c>
      <c r="K46" s="26">
        <v>583</v>
      </c>
      <c r="L46" s="26">
        <v>250</v>
      </c>
      <c r="M46" s="26">
        <v>250</v>
      </c>
      <c r="N46" s="97" t="s">
        <v>30</v>
      </c>
      <c r="O46" s="98"/>
    </row>
    <row r="47" spans="1:15" ht="18" customHeight="1" x14ac:dyDescent="0.25">
      <c r="A47" s="26"/>
      <c r="B47" s="27" t="s">
        <v>143</v>
      </c>
      <c r="C47" s="26" t="s">
        <v>23</v>
      </c>
      <c r="D47" s="26" t="s">
        <v>38</v>
      </c>
      <c r="E47" s="26" t="s">
        <v>144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97" t="s">
        <v>45</v>
      </c>
      <c r="O47" s="98"/>
    </row>
    <row r="48" spans="1:15" ht="18" customHeight="1" x14ac:dyDescent="0.25">
      <c r="A48" s="26"/>
      <c r="B48" s="27" t="s">
        <v>145</v>
      </c>
      <c r="C48" s="26" t="s">
        <v>62</v>
      </c>
      <c r="D48" s="26" t="s">
        <v>91</v>
      </c>
      <c r="E48" s="26" t="s">
        <v>131</v>
      </c>
      <c r="F48" s="26">
        <v>0</v>
      </c>
      <c r="G48" s="26">
        <v>160</v>
      </c>
      <c r="H48" s="26">
        <v>52</v>
      </c>
      <c r="I48" s="26">
        <v>52</v>
      </c>
      <c r="J48" s="26">
        <v>160</v>
      </c>
      <c r="K48" s="26">
        <v>160</v>
      </c>
      <c r="L48" s="26">
        <v>160</v>
      </c>
      <c r="M48" s="26">
        <v>160</v>
      </c>
      <c r="N48" s="97" t="s">
        <v>45</v>
      </c>
      <c r="O48" s="98"/>
    </row>
    <row r="49" spans="1:15" ht="18" customHeight="1" x14ac:dyDescent="0.25">
      <c r="A49" s="100" t="s">
        <v>146</v>
      </c>
      <c r="B49" s="98"/>
      <c r="C49" s="98"/>
      <c r="D49" s="98"/>
      <c r="E49" s="98"/>
      <c r="F49" s="30">
        <v>6189</v>
      </c>
      <c r="G49" s="30">
        <v>6085.7640000000001</v>
      </c>
      <c r="H49" s="30">
        <v>2568</v>
      </c>
      <c r="I49" s="30">
        <v>2488.5</v>
      </c>
      <c r="J49" s="30">
        <v>5257.9</v>
      </c>
      <c r="K49" s="30">
        <v>5319.9</v>
      </c>
      <c r="L49" s="30">
        <v>3294.62</v>
      </c>
      <c r="M49" s="30">
        <v>3356.62</v>
      </c>
      <c r="N49" s="100"/>
      <c r="O49" s="98"/>
    </row>
    <row r="50" spans="1:15" ht="18" customHeight="1" x14ac:dyDescent="0.25">
      <c r="A50" s="26" t="s">
        <v>147</v>
      </c>
      <c r="B50" s="27" t="s">
        <v>148</v>
      </c>
      <c r="C50" s="26" t="s">
        <v>23</v>
      </c>
      <c r="D50" s="26" t="s">
        <v>24</v>
      </c>
      <c r="E50" s="26" t="s">
        <v>149</v>
      </c>
      <c r="F50" s="26">
        <v>420</v>
      </c>
      <c r="G50" s="26">
        <v>360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97" t="s">
        <v>150</v>
      </c>
      <c r="O50" s="98"/>
    </row>
    <row r="51" spans="1:15" ht="18" customHeight="1" x14ac:dyDescent="0.25">
      <c r="A51" s="26" t="s">
        <v>151</v>
      </c>
      <c r="B51" s="27" t="s">
        <v>152</v>
      </c>
      <c r="C51" s="26" t="s">
        <v>62</v>
      </c>
      <c r="D51" s="26" t="s">
        <v>38</v>
      </c>
      <c r="E51" s="26" t="s">
        <v>153</v>
      </c>
      <c r="F51" s="26">
        <v>25</v>
      </c>
      <c r="G51" s="26">
        <v>25.5</v>
      </c>
      <c r="H51" s="26">
        <v>8</v>
      </c>
      <c r="I51" s="26">
        <v>8</v>
      </c>
      <c r="J51" s="26">
        <v>25.5</v>
      </c>
      <c r="K51" s="26">
        <v>25.5</v>
      </c>
      <c r="L51" s="26">
        <v>25.5</v>
      </c>
      <c r="M51" s="26">
        <v>25.5</v>
      </c>
      <c r="N51" s="97" t="s">
        <v>45</v>
      </c>
      <c r="O51" s="98"/>
    </row>
    <row r="52" spans="1:15" ht="18" customHeight="1" x14ac:dyDescent="0.25">
      <c r="A52" s="26" t="s">
        <v>154</v>
      </c>
      <c r="B52" s="27" t="s">
        <v>155</v>
      </c>
      <c r="C52" s="26" t="s">
        <v>134</v>
      </c>
      <c r="D52" s="26" t="s">
        <v>38</v>
      </c>
      <c r="E52" s="26"/>
      <c r="F52" s="26">
        <v>20</v>
      </c>
      <c r="G52" s="26">
        <v>20</v>
      </c>
      <c r="H52" s="26">
        <v>17</v>
      </c>
      <c r="I52" s="26">
        <v>0</v>
      </c>
      <c r="J52" s="26">
        <v>20</v>
      </c>
      <c r="K52" s="26">
        <v>0</v>
      </c>
      <c r="L52" s="26">
        <v>20</v>
      </c>
      <c r="M52" s="26">
        <v>0</v>
      </c>
      <c r="N52" s="97" t="s">
        <v>45</v>
      </c>
      <c r="O52" s="98"/>
    </row>
    <row r="53" spans="1:15" ht="18" customHeight="1" x14ac:dyDescent="0.25">
      <c r="A53" s="26" t="s">
        <v>156</v>
      </c>
      <c r="B53" s="27" t="s">
        <v>157</v>
      </c>
      <c r="C53" s="26" t="s">
        <v>62</v>
      </c>
      <c r="D53" s="26" t="s">
        <v>38</v>
      </c>
      <c r="E53" s="26" t="s">
        <v>158</v>
      </c>
      <c r="F53" s="26">
        <v>50</v>
      </c>
      <c r="G53" s="26">
        <v>50</v>
      </c>
      <c r="H53" s="26">
        <v>24</v>
      </c>
      <c r="I53" s="26">
        <v>20</v>
      </c>
      <c r="J53" s="26">
        <v>50</v>
      </c>
      <c r="K53" s="26">
        <v>50</v>
      </c>
      <c r="L53" s="26">
        <v>50</v>
      </c>
      <c r="M53" s="26">
        <v>50</v>
      </c>
      <c r="N53" s="97" t="s">
        <v>45</v>
      </c>
      <c r="O53" s="98"/>
    </row>
    <row r="54" spans="1:15" ht="18" customHeight="1" x14ac:dyDescent="0.25">
      <c r="A54" s="26" t="s">
        <v>159</v>
      </c>
      <c r="B54" s="27" t="s">
        <v>160</v>
      </c>
      <c r="C54" s="26" t="s">
        <v>161</v>
      </c>
      <c r="D54" s="26" t="s">
        <v>24</v>
      </c>
      <c r="E54" s="26" t="s">
        <v>162</v>
      </c>
      <c r="F54" s="26">
        <v>230</v>
      </c>
      <c r="G54" s="26">
        <v>230</v>
      </c>
      <c r="H54" s="26">
        <v>40</v>
      </c>
      <c r="I54" s="26">
        <v>40</v>
      </c>
      <c r="J54" s="26">
        <v>40</v>
      </c>
      <c r="K54" s="26">
        <v>40</v>
      </c>
      <c r="L54" s="26">
        <v>40</v>
      </c>
      <c r="M54" s="26">
        <v>40</v>
      </c>
      <c r="N54" s="97" t="s">
        <v>45</v>
      </c>
      <c r="O54" s="98"/>
    </row>
    <row r="55" spans="1:15" ht="18" customHeight="1" x14ac:dyDescent="0.25">
      <c r="A55" s="26" t="s">
        <v>163</v>
      </c>
      <c r="B55" s="27" t="s">
        <v>164</v>
      </c>
      <c r="C55" s="26" t="s">
        <v>142</v>
      </c>
      <c r="D55" s="26" t="s">
        <v>24</v>
      </c>
      <c r="E55" s="26" t="s">
        <v>165</v>
      </c>
      <c r="F55" s="26">
        <v>225</v>
      </c>
      <c r="G55" s="26">
        <v>225</v>
      </c>
      <c r="H55" s="26">
        <v>141</v>
      </c>
      <c r="I55" s="26">
        <v>148</v>
      </c>
      <c r="J55" s="26">
        <v>145</v>
      </c>
      <c r="K55" s="26">
        <v>150</v>
      </c>
      <c r="L55" s="26">
        <v>145</v>
      </c>
      <c r="M55" s="26">
        <v>150</v>
      </c>
      <c r="N55" s="97" t="s">
        <v>45</v>
      </c>
      <c r="O55" s="98"/>
    </row>
    <row r="56" spans="1:15" ht="18" customHeight="1" x14ac:dyDescent="0.25">
      <c r="A56" s="26" t="s">
        <v>166</v>
      </c>
      <c r="B56" s="27" t="s">
        <v>167</v>
      </c>
      <c r="C56" s="26" t="s">
        <v>142</v>
      </c>
      <c r="D56" s="26" t="s">
        <v>24</v>
      </c>
      <c r="E56" s="26" t="s">
        <v>168</v>
      </c>
      <c r="F56" s="26">
        <v>150</v>
      </c>
      <c r="G56" s="26">
        <v>126.5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97" t="s">
        <v>45</v>
      </c>
      <c r="O56" s="98"/>
    </row>
    <row r="57" spans="1:15" ht="18" customHeight="1" x14ac:dyDescent="0.25">
      <c r="A57" s="26" t="s">
        <v>169</v>
      </c>
      <c r="B57" s="27" t="s">
        <v>170</v>
      </c>
      <c r="C57" s="26" t="s">
        <v>62</v>
      </c>
      <c r="D57" s="26" t="s">
        <v>38</v>
      </c>
      <c r="E57" s="26" t="s">
        <v>124</v>
      </c>
      <c r="F57" s="26">
        <v>105</v>
      </c>
      <c r="G57" s="26">
        <v>105</v>
      </c>
      <c r="H57" s="26">
        <v>5</v>
      </c>
      <c r="I57" s="26">
        <v>0</v>
      </c>
      <c r="J57" s="26">
        <v>105</v>
      </c>
      <c r="K57" s="26">
        <v>105</v>
      </c>
      <c r="L57" s="26">
        <v>105</v>
      </c>
      <c r="M57" s="26">
        <v>105</v>
      </c>
      <c r="N57" s="97"/>
      <c r="O57" s="98"/>
    </row>
    <row r="58" spans="1:15" ht="18" customHeight="1" x14ac:dyDescent="0.25">
      <c r="A58" s="26" t="s">
        <v>171</v>
      </c>
      <c r="B58" s="27" t="s">
        <v>172</v>
      </c>
      <c r="C58" s="26" t="s">
        <v>62</v>
      </c>
      <c r="D58" s="26" t="s">
        <v>24</v>
      </c>
      <c r="E58" s="26" t="s">
        <v>173</v>
      </c>
      <c r="F58" s="26">
        <v>98</v>
      </c>
      <c r="G58" s="26">
        <v>94</v>
      </c>
      <c r="H58" s="26">
        <v>16</v>
      </c>
      <c r="I58" s="26">
        <v>76</v>
      </c>
      <c r="J58" s="26">
        <v>72</v>
      </c>
      <c r="K58" s="26">
        <v>72</v>
      </c>
      <c r="L58" s="26">
        <v>56</v>
      </c>
      <c r="M58" s="26">
        <v>80</v>
      </c>
      <c r="N58" s="97" t="s">
        <v>174</v>
      </c>
      <c r="O58" s="98"/>
    </row>
    <row r="59" spans="1:15" ht="18" customHeight="1" x14ac:dyDescent="0.25">
      <c r="A59" s="26" t="s">
        <v>175</v>
      </c>
      <c r="B59" s="27" t="s">
        <v>176</v>
      </c>
      <c r="C59" s="26" t="s">
        <v>62</v>
      </c>
      <c r="D59" s="26" t="s">
        <v>24</v>
      </c>
      <c r="E59" s="26" t="s">
        <v>177</v>
      </c>
      <c r="F59" s="26">
        <v>102</v>
      </c>
      <c r="G59" s="26">
        <v>98</v>
      </c>
      <c r="H59" s="26">
        <v>17</v>
      </c>
      <c r="I59" s="26">
        <v>100</v>
      </c>
      <c r="J59" s="26">
        <v>98</v>
      </c>
      <c r="K59" s="26">
        <v>98</v>
      </c>
      <c r="L59" s="26">
        <v>98</v>
      </c>
      <c r="M59" s="26">
        <v>98</v>
      </c>
      <c r="N59" s="97" t="s">
        <v>45</v>
      </c>
      <c r="O59" s="98"/>
    </row>
    <row r="60" spans="1:15" ht="18" customHeight="1" x14ac:dyDescent="0.25">
      <c r="A60" s="26" t="s">
        <v>178</v>
      </c>
      <c r="B60" s="27" t="s">
        <v>179</v>
      </c>
      <c r="C60" s="26" t="s">
        <v>62</v>
      </c>
      <c r="D60" s="26" t="s">
        <v>38</v>
      </c>
      <c r="E60" s="26" t="s">
        <v>180</v>
      </c>
      <c r="F60" s="26">
        <v>100</v>
      </c>
      <c r="G60" s="26">
        <v>100</v>
      </c>
      <c r="H60" s="26">
        <v>87</v>
      </c>
      <c r="I60" s="26">
        <v>100</v>
      </c>
      <c r="J60" s="26">
        <v>100</v>
      </c>
      <c r="K60" s="26">
        <v>100</v>
      </c>
      <c r="L60" s="26">
        <v>100</v>
      </c>
      <c r="M60" s="26">
        <v>100</v>
      </c>
      <c r="N60" s="97" t="s">
        <v>45</v>
      </c>
      <c r="O60" s="98"/>
    </row>
    <row r="61" spans="1:15" ht="18" customHeight="1" x14ac:dyDescent="0.25">
      <c r="A61" s="26"/>
      <c r="B61" s="27" t="s">
        <v>181</v>
      </c>
      <c r="C61" s="26" t="s">
        <v>23</v>
      </c>
      <c r="D61" s="26" t="s">
        <v>38</v>
      </c>
      <c r="E61" s="26" t="s">
        <v>182</v>
      </c>
      <c r="F61" s="26">
        <v>0</v>
      </c>
      <c r="G61" s="26">
        <v>42</v>
      </c>
      <c r="H61" s="26">
        <v>0</v>
      </c>
      <c r="I61" s="26">
        <v>8</v>
      </c>
      <c r="J61" s="26">
        <v>5</v>
      </c>
      <c r="K61" s="26">
        <v>20</v>
      </c>
      <c r="L61" s="26">
        <v>5</v>
      </c>
      <c r="M61" s="26">
        <v>20</v>
      </c>
      <c r="N61" s="97" t="s">
        <v>45</v>
      </c>
      <c r="O61" s="98"/>
    </row>
    <row r="62" spans="1:15" ht="18" customHeight="1" x14ac:dyDescent="0.25">
      <c r="A62" s="26" t="s">
        <v>183</v>
      </c>
      <c r="B62" s="27" t="s">
        <v>184</v>
      </c>
      <c r="C62" s="26" t="s">
        <v>62</v>
      </c>
      <c r="D62" s="26" t="s">
        <v>38</v>
      </c>
      <c r="E62" s="26" t="s">
        <v>185</v>
      </c>
      <c r="F62" s="26">
        <v>108</v>
      </c>
      <c r="G62" s="26">
        <v>108</v>
      </c>
      <c r="H62" s="26">
        <v>0</v>
      </c>
      <c r="I62" s="26">
        <v>16</v>
      </c>
      <c r="J62" s="26">
        <v>108</v>
      </c>
      <c r="K62" s="26">
        <v>108</v>
      </c>
      <c r="L62" s="26">
        <v>70</v>
      </c>
      <c r="M62" s="26">
        <v>70</v>
      </c>
      <c r="N62" s="97" t="s">
        <v>85</v>
      </c>
      <c r="O62" s="98"/>
    </row>
    <row r="63" spans="1:15" ht="18" customHeight="1" x14ac:dyDescent="0.25">
      <c r="A63" s="26" t="s">
        <v>186</v>
      </c>
      <c r="B63" s="27" t="s">
        <v>187</v>
      </c>
      <c r="C63" s="26" t="s">
        <v>134</v>
      </c>
      <c r="D63" s="26" t="s">
        <v>24</v>
      </c>
      <c r="E63" s="26"/>
      <c r="F63" s="26">
        <v>7</v>
      </c>
      <c r="G63" s="26">
        <v>7</v>
      </c>
      <c r="H63" s="26">
        <v>4</v>
      </c>
      <c r="I63" s="26">
        <v>0</v>
      </c>
      <c r="J63" s="26">
        <v>4.41</v>
      </c>
      <c r="K63" s="26">
        <v>0</v>
      </c>
      <c r="L63" s="26">
        <v>4.41</v>
      </c>
      <c r="M63" s="26">
        <v>0</v>
      </c>
      <c r="N63" s="97" t="s">
        <v>45</v>
      </c>
      <c r="O63" s="98"/>
    </row>
    <row r="64" spans="1:15" ht="18" customHeight="1" x14ac:dyDescent="0.25">
      <c r="A64" s="26" t="s">
        <v>188</v>
      </c>
      <c r="B64" s="27" t="s">
        <v>189</v>
      </c>
      <c r="C64" s="26" t="s">
        <v>62</v>
      </c>
      <c r="D64" s="26" t="s">
        <v>38</v>
      </c>
      <c r="E64" s="26" t="s">
        <v>190</v>
      </c>
      <c r="F64" s="26">
        <v>300</v>
      </c>
      <c r="G64" s="26">
        <v>300</v>
      </c>
      <c r="H64" s="26">
        <v>0</v>
      </c>
      <c r="I64" s="26">
        <v>0</v>
      </c>
      <c r="J64" s="26">
        <v>300</v>
      </c>
      <c r="K64" s="26">
        <v>300</v>
      </c>
      <c r="L64" s="26">
        <v>300</v>
      </c>
      <c r="M64" s="26">
        <v>300</v>
      </c>
      <c r="N64" s="97" t="s">
        <v>45</v>
      </c>
      <c r="O64" s="98"/>
    </row>
    <row r="65" spans="1:15" ht="18" customHeight="1" x14ac:dyDescent="0.25">
      <c r="A65" s="26" t="s">
        <v>191</v>
      </c>
      <c r="B65" s="27" t="s">
        <v>192</v>
      </c>
      <c r="C65" s="26" t="s">
        <v>62</v>
      </c>
      <c r="D65" s="26" t="s">
        <v>38</v>
      </c>
      <c r="E65" s="26" t="s">
        <v>193</v>
      </c>
      <c r="F65" s="26">
        <v>54</v>
      </c>
      <c r="G65" s="26">
        <v>54.36</v>
      </c>
      <c r="H65" s="26">
        <v>0</v>
      </c>
      <c r="I65" s="26">
        <v>0</v>
      </c>
      <c r="J65" s="26">
        <v>54.36</v>
      </c>
      <c r="K65" s="26">
        <v>54.36</v>
      </c>
      <c r="L65" s="26">
        <v>54.36</v>
      </c>
      <c r="M65" s="26">
        <v>54.36</v>
      </c>
      <c r="N65" s="97" t="s">
        <v>45</v>
      </c>
      <c r="O65" s="98"/>
    </row>
    <row r="66" spans="1:15" ht="18" customHeight="1" x14ac:dyDescent="0.25">
      <c r="A66" s="26" t="s">
        <v>194</v>
      </c>
      <c r="B66" s="27" t="s">
        <v>195</v>
      </c>
      <c r="C66" s="26" t="s">
        <v>62</v>
      </c>
      <c r="D66" s="26" t="s">
        <v>38</v>
      </c>
      <c r="E66" s="26" t="s">
        <v>196</v>
      </c>
      <c r="F66" s="26">
        <v>110</v>
      </c>
      <c r="G66" s="26">
        <v>110</v>
      </c>
      <c r="H66" s="26">
        <v>1</v>
      </c>
      <c r="I66" s="26">
        <v>0</v>
      </c>
      <c r="J66" s="26">
        <v>110</v>
      </c>
      <c r="K66" s="26">
        <v>110</v>
      </c>
      <c r="L66" s="26">
        <v>110</v>
      </c>
      <c r="M66" s="26">
        <v>110</v>
      </c>
      <c r="N66" s="97" t="s">
        <v>45</v>
      </c>
      <c r="O66" s="98"/>
    </row>
    <row r="67" spans="1:15" ht="18" customHeight="1" x14ac:dyDescent="0.25">
      <c r="A67" s="26" t="s">
        <v>197</v>
      </c>
      <c r="B67" s="27" t="s">
        <v>198</v>
      </c>
      <c r="C67" s="26" t="s">
        <v>62</v>
      </c>
      <c r="D67" s="26" t="s">
        <v>38</v>
      </c>
      <c r="E67" s="26" t="s">
        <v>199</v>
      </c>
      <c r="F67" s="26">
        <v>100</v>
      </c>
      <c r="G67" s="26">
        <v>100</v>
      </c>
      <c r="H67" s="26">
        <v>88</v>
      </c>
      <c r="I67" s="26">
        <v>36</v>
      </c>
      <c r="J67" s="26">
        <v>100</v>
      </c>
      <c r="K67" s="26">
        <v>100</v>
      </c>
      <c r="L67" s="26">
        <v>100</v>
      </c>
      <c r="M67" s="26">
        <v>100</v>
      </c>
      <c r="N67" s="97" t="s">
        <v>45</v>
      </c>
      <c r="O67" s="98"/>
    </row>
    <row r="68" spans="1:15" ht="18" customHeight="1" x14ac:dyDescent="0.25">
      <c r="A68" s="26" t="s">
        <v>200</v>
      </c>
      <c r="B68" s="27" t="s">
        <v>201</v>
      </c>
      <c r="C68" s="26" t="s">
        <v>62</v>
      </c>
      <c r="D68" s="26" t="s">
        <v>38</v>
      </c>
      <c r="E68" s="26" t="s">
        <v>202</v>
      </c>
      <c r="F68" s="26">
        <v>116</v>
      </c>
      <c r="G68" s="26">
        <v>116</v>
      </c>
      <c r="H68" s="26">
        <v>0</v>
      </c>
      <c r="I68" s="26">
        <v>0</v>
      </c>
      <c r="J68" s="26">
        <v>116</v>
      </c>
      <c r="K68" s="26">
        <v>116</v>
      </c>
      <c r="L68" s="26">
        <v>116</v>
      </c>
      <c r="M68" s="26">
        <v>116</v>
      </c>
      <c r="N68" s="97" t="s">
        <v>45</v>
      </c>
      <c r="O68" s="98"/>
    </row>
    <row r="69" spans="1:15" ht="18" customHeight="1" x14ac:dyDescent="0.25">
      <c r="A69" s="26" t="s">
        <v>203</v>
      </c>
      <c r="B69" s="27" t="s">
        <v>204</v>
      </c>
      <c r="C69" s="26" t="s">
        <v>205</v>
      </c>
      <c r="D69" s="26" t="s">
        <v>38</v>
      </c>
      <c r="E69" s="26" t="s">
        <v>206</v>
      </c>
      <c r="F69" s="26">
        <v>163</v>
      </c>
      <c r="G69" s="26">
        <v>159.86000000000001</v>
      </c>
      <c r="H69" s="26">
        <v>0</v>
      </c>
      <c r="I69" s="26">
        <v>0</v>
      </c>
      <c r="J69" s="26">
        <v>143</v>
      </c>
      <c r="K69" s="26">
        <v>143</v>
      </c>
      <c r="L69" s="26">
        <v>159.86000000000001</v>
      </c>
      <c r="M69" s="26">
        <v>159.86000000000001</v>
      </c>
      <c r="N69" s="97" t="s">
        <v>45</v>
      </c>
      <c r="O69" s="98"/>
    </row>
    <row r="70" spans="1:15" ht="18" customHeight="1" x14ac:dyDescent="0.25">
      <c r="A70" s="26" t="s">
        <v>207</v>
      </c>
      <c r="B70" s="27" t="s">
        <v>208</v>
      </c>
      <c r="C70" s="26" t="s">
        <v>209</v>
      </c>
      <c r="D70" s="26" t="s">
        <v>38</v>
      </c>
      <c r="E70" s="26" t="s">
        <v>210</v>
      </c>
      <c r="F70" s="26">
        <v>1224</v>
      </c>
      <c r="G70" s="26">
        <v>1224</v>
      </c>
      <c r="H70" s="26">
        <v>1150</v>
      </c>
      <c r="I70" s="26">
        <v>1224</v>
      </c>
      <c r="J70" s="26">
        <v>612</v>
      </c>
      <c r="K70" s="26">
        <v>612</v>
      </c>
      <c r="L70" s="26">
        <v>1224</v>
      </c>
      <c r="M70" s="26">
        <v>1224</v>
      </c>
      <c r="N70" s="97" t="s">
        <v>174</v>
      </c>
      <c r="O70" s="98"/>
    </row>
    <row r="71" spans="1:15" ht="18" customHeight="1" x14ac:dyDescent="0.25">
      <c r="A71" s="26" t="s">
        <v>211</v>
      </c>
      <c r="B71" s="27" t="s">
        <v>212</v>
      </c>
      <c r="C71" s="26" t="s">
        <v>213</v>
      </c>
      <c r="D71" s="26" t="s">
        <v>24</v>
      </c>
      <c r="E71" s="26" t="s">
        <v>214</v>
      </c>
      <c r="F71" s="26">
        <v>60</v>
      </c>
      <c r="G71" s="26">
        <v>60</v>
      </c>
      <c r="H71" s="26">
        <v>1</v>
      </c>
      <c r="I71" s="26">
        <v>0</v>
      </c>
      <c r="J71" s="26">
        <v>2</v>
      </c>
      <c r="K71" s="26">
        <v>7</v>
      </c>
      <c r="L71" s="26">
        <v>2</v>
      </c>
      <c r="M71" s="26">
        <v>7</v>
      </c>
      <c r="N71" s="97" t="s">
        <v>45</v>
      </c>
      <c r="O71" s="98"/>
    </row>
    <row r="72" spans="1:15" ht="18" customHeight="1" x14ac:dyDescent="0.25">
      <c r="A72" s="26" t="s">
        <v>215</v>
      </c>
      <c r="B72" s="27" t="s">
        <v>216</v>
      </c>
      <c r="C72" s="26" t="s">
        <v>209</v>
      </c>
      <c r="D72" s="26" t="s">
        <v>217</v>
      </c>
      <c r="E72" s="26" t="s">
        <v>218</v>
      </c>
      <c r="F72" s="26">
        <v>1150</v>
      </c>
      <c r="G72" s="26">
        <v>1200</v>
      </c>
      <c r="H72" s="26">
        <v>505</v>
      </c>
      <c r="I72" s="26">
        <v>557</v>
      </c>
      <c r="J72" s="26">
        <v>575</v>
      </c>
      <c r="K72" s="26">
        <v>575</v>
      </c>
      <c r="L72" s="26">
        <v>575</v>
      </c>
      <c r="M72" s="26">
        <v>575</v>
      </c>
      <c r="N72" s="97" t="s">
        <v>219</v>
      </c>
      <c r="O72" s="98"/>
    </row>
    <row r="73" spans="1:15" ht="18" customHeight="1" x14ac:dyDescent="0.25">
      <c r="A73" s="100" t="s">
        <v>220</v>
      </c>
      <c r="B73" s="98"/>
      <c r="C73" s="98"/>
      <c r="D73" s="98"/>
      <c r="E73" s="98"/>
      <c r="F73" s="30">
        <v>4917</v>
      </c>
      <c r="G73" s="30">
        <v>4915.22</v>
      </c>
      <c r="H73" s="30">
        <v>2104</v>
      </c>
      <c r="I73" s="30">
        <v>2333</v>
      </c>
      <c r="J73" s="30">
        <v>2785.27</v>
      </c>
      <c r="K73" s="30">
        <v>2785.86</v>
      </c>
      <c r="L73" s="30">
        <v>3360.13</v>
      </c>
      <c r="M73" s="30">
        <v>3384.72</v>
      </c>
      <c r="N73" s="100"/>
      <c r="O73" s="98"/>
    </row>
    <row r="74" spans="1:15" ht="18" customHeight="1" x14ac:dyDescent="0.25">
      <c r="A74" s="26" t="s">
        <v>221</v>
      </c>
      <c r="B74" s="27" t="s">
        <v>222</v>
      </c>
      <c r="C74" s="26" t="s">
        <v>23</v>
      </c>
      <c r="D74" s="26" t="s">
        <v>223</v>
      </c>
      <c r="E74" s="26" t="s">
        <v>224</v>
      </c>
      <c r="F74" s="26">
        <v>221</v>
      </c>
      <c r="G74" s="26">
        <v>221.43</v>
      </c>
      <c r="H74" s="26">
        <v>207</v>
      </c>
      <c r="I74" s="26">
        <v>180</v>
      </c>
      <c r="J74" s="26">
        <v>221</v>
      </c>
      <c r="K74" s="26">
        <v>221</v>
      </c>
      <c r="L74" s="26">
        <v>205</v>
      </c>
      <c r="M74" s="26">
        <v>205</v>
      </c>
      <c r="N74" s="97" t="s">
        <v>59</v>
      </c>
      <c r="O74" s="98"/>
    </row>
    <row r="75" spans="1:15" ht="18" customHeight="1" x14ac:dyDescent="0.25">
      <c r="A75" s="26" t="s">
        <v>225</v>
      </c>
      <c r="B75" s="27" t="s">
        <v>226</v>
      </c>
      <c r="C75" s="26" t="s">
        <v>23</v>
      </c>
      <c r="D75" s="26" t="s">
        <v>223</v>
      </c>
      <c r="E75" s="26" t="s">
        <v>227</v>
      </c>
      <c r="F75" s="26">
        <v>360</v>
      </c>
      <c r="G75" s="26">
        <v>353.35</v>
      </c>
      <c r="H75" s="26">
        <v>220</v>
      </c>
      <c r="I75" s="26">
        <v>250</v>
      </c>
      <c r="J75" s="26">
        <v>235</v>
      </c>
      <c r="K75" s="26">
        <v>235</v>
      </c>
      <c r="L75" s="26">
        <v>235</v>
      </c>
      <c r="M75" s="26">
        <v>235</v>
      </c>
      <c r="N75" s="97" t="s">
        <v>228</v>
      </c>
      <c r="O75" s="98"/>
    </row>
    <row r="76" spans="1:15" ht="18" customHeight="1" x14ac:dyDescent="0.25">
      <c r="A76" s="26" t="s">
        <v>229</v>
      </c>
      <c r="B76" s="27" t="s">
        <v>230</v>
      </c>
      <c r="C76" s="26" t="s">
        <v>23</v>
      </c>
      <c r="D76" s="26" t="s">
        <v>223</v>
      </c>
      <c r="E76" s="26" t="s">
        <v>227</v>
      </c>
      <c r="F76" s="26">
        <v>360</v>
      </c>
      <c r="G76" s="26">
        <v>356.56</v>
      </c>
      <c r="H76" s="26">
        <v>335</v>
      </c>
      <c r="I76" s="26">
        <v>345</v>
      </c>
      <c r="J76" s="26">
        <v>345</v>
      </c>
      <c r="K76" s="26">
        <v>345</v>
      </c>
      <c r="L76" s="26">
        <v>345</v>
      </c>
      <c r="M76" s="26">
        <v>345</v>
      </c>
      <c r="N76" s="97" t="s">
        <v>231</v>
      </c>
      <c r="O76" s="98"/>
    </row>
    <row r="77" spans="1:15" ht="18" customHeight="1" x14ac:dyDescent="0.25">
      <c r="A77" s="26" t="s">
        <v>232</v>
      </c>
      <c r="B77" s="27" t="s">
        <v>233</v>
      </c>
      <c r="C77" s="26" t="s">
        <v>23</v>
      </c>
      <c r="D77" s="26" t="s">
        <v>223</v>
      </c>
      <c r="E77" s="26" t="s">
        <v>234</v>
      </c>
      <c r="F77" s="26">
        <v>400</v>
      </c>
      <c r="G77" s="26">
        <v>393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97" t="s">
        <v>45</v>
      </c>
      <c r="O77" s="98"/>
    </row>
    <row r="78" spans="1:15" ht="18" customHeight="1" x14ac:dyDescent="0.25">
      <c r="A78" s="26" t="s">
        <v>235</v>
      </c>
      <c r="B78" s="27" t="s">
        <v>236</v>
      </c>
      <c r="C78" s="26" t="s">
        <v>23</v>
      </c>
      <c r="D78" s="26" t="s">
        <v>223</v>
      </c>
      <c r="E78" s="26" t="s">
        <v>237</v>
      </c>
      <c r="F78" s="26">
        <v>53</v>
      </c>
      <c r="G78" s="26">
        <v>46.94</v>
      </c>
      <c r="H78" s="26">
        <v>29</v>
      </c>
      <c r="I78" s="26">
        <v>33</v>
      </c>
      <c r="J78" s="26">
        <v>46.94</v>
      </c>
      <c r="K78" s="26">
        <v>46.94</v>
      </c>
      <c r="L78" s="26">
        <v>38</v>
      </c>
      <c r="M78" s="26">
        <v>38</v>
      </c>
      <c r="N78" s="97" t="s">
        <v>45</v>
      </c>
      <c r="O78" s="98"/>
    </row>
    <row r="79" spans="1:15" ht="18" customHeight="1" x14ac:dyDescent="0.25">
      <c r="A79" s="26" t="s">
        <v>238</v>
      </c>
      <c r="B79" s="27" t="s">
        <v>239</v>
      </c>
      <c r="C79" s="26" t="s">
        <v>23</v>
      </c>
      <c r="D79" s="26" t="s">
        <v>66</v>
      </c>
      <c r="E79" s="26" t="s">
        <v>240</v>
      </c>
      <c r="F79" s="26">
        <v>55</v>
      </c>
      <c r="G79" s="26">
        <v>55</v>
      </c>
      <c r="H79" s="26">
        <v>30</v>
      </c>
      <c r="I79" s="26">
        <v>53</v>
      </c>
      <c r="J79" s="26">
        <v>55</v>
      </c>
      <c r="K79" s="26">
        <v>55</v>
      </c>
      <c r="L79" s="26">
        <v>55</v>
      </c>
      <c r="M79" s="26">
        <v>55</v>
      </c>
      <c r="N79" s="97" t="s">
        <v>45</v>
      </c>
      <c r="O79" s="98"/>
    </row>
    <row r="80" spans="1:15" ht="18" customHeight="1" x14ac:dyDescent="0.25">
      <c r="A80" s="26" t="s">
        <v>241</v>
      </c>
      <c r="B80" s="27" t="s">
        <v>242</v>
      </c>
      <c r="C80" s="26" t="s">
        <v>23</v>
      </c>
      <c r="D80" s="26" t="s">
        <v>38</v>
      </c>
      <c r="E80" s="26" t="s">
        <v>243</v>
      </c>
      <c r="F80" s="26">
        <v>195</v>
      </c>
      <c r="G80" s="26">
        <v>195</v>
      </c>
      <c r="H80" s="26">
        <v>63</v>
      </c>
      <c r="I80" s="26">
        <v>73</v>
      </c>
      <c r="J80" s="26">
        <v>195</v>
      </c>
      <c r="K80" s="26">
        <v>195</v>
      </c>
      <c r="L80" s="26">
        <v>195</v>
      </c>
      <c r="M80" s="26">
        <v>195</v>
      </c>
      <c r="N80" s="97" t="s">
        <v>45</v>
      </c>
      <c r="O80" s="98"/>
    </row>
    <row r="81" spans="1:15" ht="18" customHeight="1" x14ac:dyDescent="0.25">
      <c r="A81" s="26" t="s">
        <v>244</v>
      </c>
      <c r="B81" s="27" t="s">
        <v>245</v>
      </c>
      <c r="C81" s="26" t="s">
        <v>23</v>
      </c>
      <c r="D81" s="26" t="s">
        <v>38</v>
      </c>
      <c r="E81" s="26" t="s">
        <v>246</v>
      </c>
      <c r="F81" s="26">
        <v>51</v>
      </c>
      <c r="G81" s="26">
        <v>51</v>
      </c>
      <c r="H81" s="26">
        <v>51</v>
      </c>
      <c r="I81" s="26">
        <v>51</v>
      </c>
      <c r="J81" s="26">
        <v>51</v>
      </c>
      <c r="K81" s="26">
        <v>51</v>
      </c>
      <c r="L81" s="26">
        <v>51</v>
      </c>
      <c r="M81" s="26">
        <v>51</v>
      </c>
      <c r="N81" s="97" t="s">
        <v>45</v>
      </c>
      <c r="O81" s="98"/>
    </row>
    <row r="82" spans="1:15" ht="18" customHeight="1" x14ac:dyDescent="0.25">
      <c r="A82" s="26" t="s">
        <v>247</v>
      </c>
      <c r="B82" s="27" t="s">
        <v>248</v>
      </c>
      <c r="C82" s="26" t="s">
        <v>62</v>
      </c>
      <c r="D82" s="26" t="s">
        <v>38</v>
      </c>
      <c r="E82" s="26" t="s">
        <v>249</v>
      </c>
      <c r="F82" s="26">
        <v>150</v>
      </c>
      <c r="G82" s="26">
        <v>150</v>
      </c>
      <c r="H82" s="26">
        <v>45</v>
      </c>
      <c r="I82" s="26">
        <v>30</v>
      </c>
      <c r="J82" s="26">
        <v>150</v>
      </c>
      <c r="K82" s="26">
        <v>150</v>
      </c>
      <c r="L82" s="26">
        <v>135</v>
      </c>
      <c r="M82" s="26">
        <v>135</v>
      </c>
      <c r="N82" s="97" t="s">
        <v>121</v>
      </c>
      <c r="O82" s="98"/>
    </row>
    <row r="83" spans="1:15" ht="18" customHeight="1" x14ac:dyDescent="0.25">
      <c r="A83" s="26" t="s">
        <v>250</v>
      </c>
      <c r="B83" s="27" t="s">
        <v>251</v>
      </c>
      <c r="C83" s="26" t="s">
        <v>62</v>
      </c>
      <c r="D83" s="26" t="s">
        <v>24</v>
      </c>
      <c r="E83" s="26" t="s">
        <v>252</v>
      </c>
      <c r="F83" s="26">
        <v>52</v>
      </c>
      <c r="G83" s="26">
        <v>47</v>
      </c>
      <c r="H83" s="26">
        <v>27</v>
      </c>
      <c r="I83" s="26">
        <v>31</v>
      </c>
      <c r="J83" s="26">
        <v>47</v>
      </c>
      <c r="K83" s="26">
        <v>47</v>
      </c>
      <c r="L83" s="26">
        <v>47</v>
      </c>
      <c r="M83" s="26">
        <v>47</v>
      </c>
      <c r="N83" s="97"/>
      <c r="O83" s="98"/>
    </row>
    <row r="84" spans="1:15" ht="18" customHeight="1" x14ac:dyDescent="0.25">
      <c r="A84" s="26" t="s">
        <v>253</v>
      </c>
      <c r="B84" s="27" t="s">
        <v>254</v>
      </c>
      <c r="C84" s="26" t="s">
        <v>23</v>
      </c>
      <c r="D84" s="26" t="s">
        <v>24</v>
      </c>
      <c r="E84" s="26" t="s">
        <v>255</v>
      </c>
      <c r="F84" s="26">
        <v>163</v>
      </c>
      <c r="G84" s="26">
        <v>163</v>
      </c>
      <c r="H84" s="26">
        <v>50</v>
      </c>
      <c r="I84" s="26">
        <v>70</v>
      </c>
      <c r="J84" s="26">
        <v>163</v>
      </c>
      <c r="K84" s="26">
        <v>163</v>
      </c>
      <c r="L84" s="26">
        <v>90</v>
      </c>
      <c r="M84" s="26">
        <v>90</v>
      </c>
      <c r="N84" s="97" t="s">
        <v>45</v>
      </c>
      <c r="O84" s="98"/>
    </row>
    <row r="85" spans="1:15" ht="18" customHeight="1" x14ac:dyDescent="0.25">
      <c r="A85" s="26" t="s">
        <v>256</v>
      </c>
      <c r="B85" s="27" t="s">
        <v>257</v>
      </c>
      <c r="C85" s="26" t="s">
        <v>62</v>
      </c>
      <c r="D85" s="26" t="s">
        <v>38</v>
      </c>
      <c r="E85" s="26" t="s">
        <v>258</v>
      </c>
      <c r="F85" s="26">
        <v>200</v>
      </c>
      <c r="G85" s="26">
        <v>200</v>
      </c>
      <c r="H85" s="26">
        <v>200</v>
      </c>
      <c r="I85" s="26">
        <v>170</v>
      </c>
      <c r="J85" s="26">
        <v>200</v>
      </c>
      <c r="K85" s="26">
        <v>200</v>
      </c>
      <c r="L85" s="26">
        <v>200</v>
      </c>
      <c r="M85" s="26">
        <v>200</v>
      </c>
      <c r="N85" s="97" t="s">
        <v>45</v>
      </c>
      <c r="O85" s="98"/>
    </row>
    <row r="86" spans="1:15" ht="18" customHeight="1" x14ac:dyDescent="0.25">
      <c r="A86" s="28" t="s">
        <v>259</v>
      </c>
      <c r="B86" s="29" t="s">
        <v>260</v>
      </c>
      <c r="C86" s="28" t="s">
        <v>23</v>
      </c>
      <c r="D86" s="28" t="s">
        <v>70</v>
      </c>
      <c r="E86" s="28" t="s">
        <v>261</v>
      </c>
      <c r="F86" s="28">
        <v>11</v>
      </c>
      <c r="G86" s="28">
        <v>11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99" t="s">
        <v>52</v>
      </c>
      <c r="O86" s="98"/>
    </row>
    <row r="87" spans="1:15" ht="18" customHeight="1" x14ac:dyDescent="0.25">
      <c r="A87" s="26"/>
      <c r="B87" s="27" t="s">
        <v>262</v>
      </c>
      <c r="C87" s="26" t="s">
        <v>263</v>
      </c>
      <c r="D87" s="26" t="s">
        <v>263</v>
      </c>
      <c r="E87" s="26"/>
      <c r="F87" s="26">
        <v>160</v>
      </c>
      <c r="G87" s="26">
        <v>160</v>
      </c>
      <c r="H87" s="26">
        <v>38</v>
      </c>
      <c r="I87" s="26">
        <v>44</v>
      </c>
      <c r="J87" s="26">
        <v>160</v>
      </c>
      <c r="K87" s="26">
        <v>160</v>
      </c>
      <c r="L87" s="26">
        <v>160</v>
      </c>
      <c r="M87" s="26">
        <v>160</v>
      </c>
      <c r="N87" s="97" t="s">
        <v>45</v>
      </c>
      <c r="O87" s="98"/>
    </row>
    <row r="88" spans="1:15" ht="18" customHeight="1" x14ac:dyDescent="0.25">
      <c r="A88" s="26" t="s">
        <v>264</v>
      </c>
      <c r="B88" s="27" t="s">
        <v>265</v>
      </c>
      <c r="C88" s="26" t="s">
        <v>62</v>
      </c>
      <c r="D88" s="26" t="s">
        <v>38</v>
      </c>
      <c r="E88" s="26" t="s">
        <v>252</v>
      </c>
      <c r="F88" s="26">
        <v>52.2</v>
      </c>
      <c r="G88" s="26">
        <v>52.2</v>
      </c>
      <c r="H88" s="26">
        <v>52.2</v>
      </c>
      <c r="I88" s="26">
        <v>8</v>
      </c>
      <c r="J88" s="26">
        <v>52.2</v>
      </c>
      <c r="K88" s="26">
        <v>52.2</v>
      </c>
      <c r="L88" s="26">
        <v>52.2</v>
      </c>
      <c r="M88" s="26">
        <v>52.2</v>
      </c>
      <c r="N88" s="97" t="s">
        <v>45</v>
      </c>
      <c r="O88" s="98"/>
    </row>
    <row r="89" spans="1:15" ht="18" customHeight="1" x14ac:dyDescent="0.25">
      <c r="A89" s="26" t="s">
        <v>266</v>
      </c>
      <c r="B89" s="27" t="s">
        <v>267</v>
      </c>
      <c r="C89" s="26" t="s">
        <v>23</v>
      </c>
      <c r="D89" s="26" t="s">
        <v>70</v>
      </c>
      <c r="E89" s="26" t="s">
        <v>268</v>
      </c>
      <c r="F89" s="26">
        <v>25</v>
      </c>
      <c r="G89" s="26">
        <v>25</v>
      </c>
      <c r="H89" s="26">
        <v>19</v>
      </c>
      <c r="I89" s="26">
        <v>18</v>
      </c>
      <c r="J89" s="26">
        <v>24.5</v>
      </c>
      <c r="K89" s="26">
        <v>24.5</v>
      </c>
      <c r="L89" s="26">
        <v>20</v>
      </c>
      <c r="M89" s="26">
        <v>20</v>
      </c>
      <c r="N89" s="97" t="s">
        <v>45</v>
      </c>
      <c r="O89" s="98"/>
    </row>
    <row r="90" spans="1:15" ht="18" customHeight="1" x14ac:dyDescent="0.25">
      <c r="A90" s="26" t="s">
        <v>269</v>
      </c>
      <c r="B90" s="27" t="s">
        <v>270</v>
      </c>
      <c r="C90" s="26" t="s">
        <v>62</v>
      </c>
      <c r="D90" s="26" t="s">
        <v>38</v>
      </c>
      <c r="E90" s="26" t="s">
        <v>271</v>
      </c>
      <c r="F90" s="26">
        <v>114</v>
      </c>
      <c r="G90" s="26">
        <v>114</v>
      </c>
      <c r="H90" s="26">
        <v>114</v>
      </c>
      <c r="I90" s="26">
        <v>114</v>
      </c>
      <c r="J90" s="26">
        <v>114</v>
      </c>
      <c r="K90" s="26">
        <v>114</v>
      </c>
      <c r="L90" s="26">
        <v>114</v>
      </c>
      <c r="M90" s="26">
        <v>114</v>
      </c>
      <c r="N90" s="97" t="s">
        <v>45</v>
      </c>
      <c r="O90" s="98"/>
    </row>
    <row r="91" spans="1:15" ht="18" customHeight="1" x14ac:dyDescent="0.25">
      <c r="A91" s="26" t="s">
        <v>272</v>
      </c>
      <c r="B91" s="27" t="s">
        <v>273</v>
      </c>
      <c r="C91" s="26" t="s">
        <v>62</v>
      </c>
      <c r="D91" s="26" t="s">
        <v>38</v>
      </c>
      <c r="E91" s="26" t="s">
        <v>274</v>
      </c>
      <c r="F91" s="26">
        <v>113</v>
      </c>
      <c r="G91" s="26">
        <v>113</v>
      </c>
      <c r="H91" s="26">
        <v>8</v>
      </c>
      <c r="I91" s="26">
        <v>39</v>
      </c>
      <c r="J91" s="26">
        <v>113</v>
      </c>
      <c r="K91" s="26">
        <v>113</v>
      </c>
      <c r="L91" s="26">
        <v>9</v>
      </c>
      <c r="M91" s="26">
        <v>38</v>
      </c>
      <c r="N91" s="97" t="s">
        <v>275</v>
      </c>
      <c r="O91" s="98"/>
    </row>
    <row r="92" spans="1:15" ht="18" customHeight="1" x14ac:dyDescent="0.25">
      <c r="A92" s="26" t="s">
        <v>276</v>
      </c>
      <c r="B92" s="27" t="s">
        <v>277</v>
      </c>
      <c r="C92" s="26" t="s">
        <v>62</v>
      </c>
      <c r="D92" s="26" t="s">
        <v>38</v>
      </c>
      <c r="E92" s="26" t="s">
        <v>278</v>
      </c>
      <c r="F92" s="26">
        <v>115</v>
      </c>
      <c r="G92" s="26">
        <v>115</v>
      </c>
      <c r="H92" s="26">
        <v>69</v>
      </c>
      <c r="I92" s="26">
        <v>90</v>
      </c>
      <c r="J92" s="26">
        <v>115</v>
      </c>
      <c r="K92" s="26">
        <v>115</v>
      </c>
      <c r="L92" s="26">
        <v>115</v>
      </c>
      <c r="M92" s="26">
        <v>115</v>
      </c>
      <c r="N92" s="97" t="s">
        <v>45</v>
      </c>
      <c r="O92" s="98"/>
    </row>
    <row r="93" spans="1:15" ht="18" customHeight="1" x14ac:dyDescent="0.25">
      <c r="A93" s="26" t="s">
        <v>279</v>
      </c>
      <c r="B93" s="27" t="s">
        <v>280</v>
      </c>
      <c r="C93" s="26" t="s">
        <v>134</v>
      </c>
      <c r="D93" s="26" t="s">
        <v>48</v>
      </c>
      <c r="E93" s="26"/>
      <c r="F93" s="26">
        <v>75</v>
      </c>
      <c r="G93" s="26">
        <v>75</v>
      </c>
      <c r="H93" s="26">
        <v>67</v>
      </c>
      <c r="I93" s="26">
        <v>0</v>
      </c>
      <c r="J93" s="26">
        <v>68</v>
      </c>
      <c r="K93" s="26">
        <v>0</v>
      </c>
      <c r="L93" s="26">
        <v>68</v>
      </c>
      <c r="M93" s="26">
        <v>0</v>
      </c>
      <c r="N93" s="97" t="s">
        <v>45</v>
      </c>
      <c r="O93" s="98"/>
    </row>
    <row r="94" spans="1:15" ht="18" customHeight="1" x14ac:dyDescent="0.25">
      <c r="A94" s="100" t="s">
        <v>281</v>
      </c>
      <c r="B94" s="98"/>
      <c r="C94" s="98"/>
      <c r="D94" s="98"/>
      <c r="E94" s="98"/>
      <c r="F94" s="30">
        <v>2925.2</v>
      </c>
      <c r="G94" s="30">
        <v>2897.48</v>
      </c>
      <c r="H94" s="30">
        <v>1624.2</v>
      </c>
      <c r="I94" s="30">
        <v>1599</v>
      </c>
      <c r="J94" s="30">
        <v>2355.64</v>
      </c>
      <c r="K94" s="30">
        <v>2287.64</v>
      </c>
      <c r="L94" s="30">
        <v>2134.1999999999998</v>
      </c>
      <c r="M94" s="30">
        <v>2095.1999999999998</v>
      </c>
      <c r="N94" s="100"/>
      <c r="O94" s="98"/>
    </row>
    <row r="95" spans="1:15" ht="18" customHeight="1" x14ac:dyDescent="0.25"/>
    <row r="96" spans="1:15" ht="18" customHeight="1" x14ac:dyDescent="0.25"/>
    <row r="97" spans="1:15" ht="18" customHeight="1" x14ac:dyDescent="0.25"/>
    <row r="98" spans="1:15" ht="18" customHeight="1" x14ac:dyDescent="0.25"/>
    <row r="99" spans="1:15" ht="18" customHeight="1" x14ac:dyDescent="0.25"/>
    <row r="100" spans="1:15" ht="18" customHeight="1" x14ac:dyDescent="0.25"/>
    <row r="101" spans="1:15" ht="18" customHeight="1" x14ac:dyDescent="0.25"/>
    <row r="102" spans="1:15" ht="18" customHeight="1" x14ac:dyDescent="0.25"/>
    <row r="103" spans="1:15" ht="18" customHeight="1" x14ac:dyDescent="0.25"/>
    <row r="104" spans="1:15" ht="18" customHeight="1" x14ac:dyDescent="0.25"/>
    <row r="105" spans="1:15" ht="18" customHeight="1" thickBot="1" x14ac:dyDescent="0.3"/>
    <row r="106" spans="1:15" ht="15" customHeight="1" thickBot="1" x14ac:dyDescent="0.3">
      <c r="A106" s="65" t="s">
        <v>5</v>
      </c>
      <c r="B106" s="71" t="s">
        <v>6</v>
      </c>
      <c r="C106" s="72" t="s">
        <v>7</v>
      </c>
      <c r="D106" s="64" t="s">
        <v>8</v>
      </c>
      <c r="E106" s="64" t="s">
        <v>9</v>
      </c>
      <c r="F106" s="77"/>
      <c r="G106" s="68" t="s">
        <v>10</v>
      </c>
      <c r="H106" s="75" t="s">
        <v>11</v>
      </c>
      <c r="I106" s="61"/>
      <c r="J106" s="75" t="s">
        <v>12</v>
      </c>
      <c r="K106" s="61"/>
      <c r="L106" s="75" t="s">
        <v>13</v>
      </c>
      <c r="M106" s="61"/>
      <c r="N106" s="64" t="s">
        <v>14</v>
      </c>
      <c r="O106" s="77"/>
    </row>
    <row r="107" spans="1:15" ht="15" customHeight="1" thickBot="1" x14ac:dyDescent="0.3">
      <c r="A107" s="66"/>
      <c r="B107" s="66"/>
      <c r="C107" s="73"/>
      <c r="D107" s="66"/>
      <c r="E107" s="73"/>
      <c r="F107" s="78"/>
      <c r="G107" s="66"/>
      <c r="H107" s="11" t="s">
        <v>15</v>
      </c>
      <c r="I107" s="10" t="s">
        <v>16</v>
      </c>
      <c r="J107" s="12" t="str">
        <f>J8</f>
        <v>12-05-2025</v>
      </c>
      <c r="K107" s="10" t="s">
        <v>16</v>
      </c>
      <c r="L107" s="12" t="str">
        <f>L8</f>
        <v>12-05-2025</v>
      </c>
      <c r="M107" s="10" t="s">
        <v>16</v>
      </c>
      <c r="N107" s="73"/>
      <c r="O107" s="78"/>
    </row>
    <row r="108" spans="1:15" ht="15.75" customHeight="1" thickBot="1" x14ac:dyDescent="0.3">
      <c r="A108" s="66"/>
      <c r="B108" s="69"/>
      <c r="C108" s="74"/>
      <c r="D108" s="67"/>
      <c r="E108" s="79"/>
      <c r="F108" s="80"/>
      <c r="G108" s="69"/>
      <c r="H108" s="24" t="s">
        <v>17</v>
      </c>
      <c r="I108" s="24" t="s">
        <v>18</v>
      </c>
      <c r="J108" s="24" t="s">
        <v>17</v>
      </c>
      <c r="K108" s="24" t="s">
        <v>18</v>
      </c>
      <c r="L108" s="24" t="s">
        <v>17</v>
      </c>
      <c r="M108" s="24" t="s">
        <v>18</v>
      </c>
      <c r="N108" s="79"/>
      <c r="O108" s="80"/>
    </row>
    <row r="109" spans="1:15" ht="18.75" customHeight="1" thickBot="1" x14ac:dyDescent="0.3">
      <c r="A109" s="6"/>
      <c r="B109" s="64"/>
      <c r="C109" s="61"/>
      <c r="D109" s="25"/>
      <c r="E109" s="8" t="s">
        <v>19</v>
      </c>
      <c r="F109" s="9" t="s">
        <v>20</v>
      </c>
      <c r="G109" s="9" t="s">
        <v>20</v>
      </c>
      <c r="H109" s="25" t="s">
        <v>20</v>
      </c>
      <c r="I109" s="25" t="s">
        <v>20</v>
      </c>
      <c r="J109" s="25" t="s">
        <v>20</v>
      </c>
      <c r="K109" s="25" t="s">
        <v>20</v>
      </c>
      <c r="L109" s="25" t="s">
        <v>20</v>
      </c>
      <c r="M109" s="25" t="s">
        <v>20</v>
      </c>
      <c r="N109" s="81"/>
      <c r="O109" s="61"/>
    </row>
    <row r="110" spans="1:15" ht="18" customHeight="1" x14ac:dyDescent="0.25">
      <c r="A110" s="26" t="s">
        <v>282</v>
      </c>
      <c r="B110" s="27" t="s">
        <v>283</v>
      </c>
      <c r="C110" s="26" t="s">
        <v>23</v>
      </c>
      <c r="D110" s="26" t="s">
        <v>109</v>
      </c>
      <c r="E110" s="26" t="s">
        <v>284</v>
      </c>
      <c r="F110" s="26">
        <v>210</v>
      </c>
      <c r="G110" s="26">
        <v>210</v>
      </c>
      <c r="H110" s="26">
        <v>10</v>
      </c>
      <c r="I110" s="26">
        <v>11</v>
      </c>
      <c r="J110" s="26">
        <v>157.5</v>
      </c>
      <c r="K110" s="26">
        <v>157.5</v>
      </c>
      <c r="L110" s="26">
        <v>22</v>
      </c>
      <c r="M110" s="26">
        <v>22</v>
      </c>
      <c r="N110" s="97" t="s">
        <v>99</v>
      </c>
      <c r="O110" s="98"/>
    </row>
    <row r="111" spans="1:15" ht="18" customHeight="1" x14ac:dyDescent="0.25">
      <c r="A111" s="26" t="s">
        <v>285</v>
      </c>
      <c r="B111" s="27" t="s">
        <v>286</v>
      </c>
      <c r="C111" s="26" t="s">
        <v>134</v>
      </c>
      <c r="D111" s="26" t="s">
        <v>38</v>
      </c>
      <c r="E111" s="26"/>
      <c r="F111" s="26">
        <v>3</v>
      </c>
      <c r="G111" s="26">
        <v>2.71</v>
      </c>
      <c r="H111" s="26">
        <v>2</v>
      </c>
      <c r="I111" s="26">
        <v>0</v>
      </c>
      <c r="J111" s="26">
        <v>2.1</v>
      </c>
      <c r="K111" s="26">
        <v>0</v>
      </c>
      <c r="L111" s="26">
        <v>2.1</v>
      </c>
      <c r="M111" s="26">
        <v>0</v>
      </c>
      <c r="N111" s="97" t="s">
        <v>45</v>
      </c>
      <c r="O111" s="98"/>
    </row>
    <row r="112" spans="1:15" ht="18" customHeight="1" x14ac:dyDescent="0.25">
      <c r="A112" s="26" t="s">
        <v>287</v>
      </c>
      <c r="B112" s="27" t="s">
        <v>288</v>
      </c>
      <c r="C112" s="26" t="s">
        <v>62</v>
      </c>
      <c r="D112" s="26" t="s">
        <v>38</v>
      </c>
      <c r="E112" s="26" t="s">
        <v>289</v>
      </c>
      <c r="F112" s="26">
        <v>200</v>
      </c>
      <c r="G112" s="26">
        <v>200</v>
      </c>
      <c r="H112" s="26">
        <v>115</v>
      </c>
      <c r="I112" s="26">
        <v>165</v>
      </c>
      <c r="J112" s="26">
        <v>200</v>
      </c>
      <c r="K112" s="26">
        <v>200</v>
      </c>
      <c r="L112" s="26">
        <v>125</v>
      </c>
      <c r="M112" s="26">
        <v>160</v>
      </c>
      <c r="N112" s="97" t="s">
        <v>85</v>
      </c>
      <c r="O112" s="98"/>
    </row>
    <row r="113" spans="1:15" ht="18" customHeight="1" x14ac:dyDescent="0.25">
      <c r="A113" s="26" t="s">
        <v>290</v>
      </c>
      <c r="B113" s="27" t="s">
        <v>291</v>
      </c>
      <c r="C113" s="26" t="s">
        <v>62</v>
      </c>
      <c r="D113" s="26" t="s">
        <v>38</v>
      </c>
      <c r="E113" s="26" t="s">
        <v>292</v>
      </c>
      <c r="F113" s="26">
        <v>115</v>
      </c>
      <c r="G113" s="26">
        <v>115</v>
      </c>
      <c r="H113" s="26">
        <v>64</v>
      </c>
      <c r="I113" s="26">
        <v>96</v>
      </c>
      <c r="J113" s="26">
        <v>115</v>
      </c>
      <c r="K113" s="26">
        <v>115</v>
      </c>
      <c r="L113" s="26">
        <v>68</v>
      </c>
      <c r="M113" s="26">
        <v>105</v>
      </c>
      <c r="N113" s="97" t="s">
        <v>85</v>
      </c>
      <c r="O113" s="98"/>
    </row>
    <row r="114" spans="1:15" ht="18" customHeight="1" x14ac:dyDescent="0.25">
      <c r="A114" s="26" t="s">
        <v>293</v>
      </c>
      <c r="B114" s="27" t="s">
        <v>294</v>
      </c>
      <c r="C114" s="26" t="s">
        <v>134</v>
      </c>
      <c r="D114" s="26" t="s">
        <v>38</v>
      </c>
      <c r="E114" s="26"/>
      <c r="F114" s="26">
        <v>50</v>
      </c>
      <c r="G114" s="26">
        <v>50</v>
      </c>
      <c r="H114" s="26">
        <v>45</v>
      </c>
      <c r="I114" s="26">
        <v>0</v>
      </c>
      <c r="J114" s="26">
        <v>48</v>
      </c>
      <c r="K114" s="26">
        <v>0</v>
      </c>
      <c r="L114" s="26">
        <v>48</v>
      </c>
      <c r="M114" s="26">
        <v>0</v>
      </c>
      <c r="N114" s="97" t="s">
        <v>45</v>
      </c>
      <c r="O114" s="98"/>
    </row>
    <row r="115" spans="1:15" ht="18" customHeight="1" x14ac:dyDescent="0.25">
      <c r="A115" s="26" t="s">
        <v>295</v>
      </c>
      <c r="B115" s="27" t="s">
        <v>296</v>
      </c>
      <c r="C115" s="26" t="s">
        <v>62</v>
      </c>
      <c r="D115" s="26" t="s">
        <v>38</v>
      </c>
      <c r="E115" s="26" t="s">
        <v>297</v>
      </c>
      <c r="F115" s="26">
        <v>22</v>
      </c>
      <c r="G115" s="26">
        <v>22</v>
      </c>
      <c r="H115" s="26">
        <v>12</v>
      </c>
      <c r="I115" s="26">
        <v>12</v>
      </c>
      <c r="J115" s="26">
        <v>22</v>
      </c>
      <c r="K115" s="26">
        <v>22</v>
      </c>
      <c r="L115" s="26">
        <v>12</v>
      </c>
      <c r="M115" s="26">
        <v>12</v>
      </c>
      <c r="N115" s="97" t="s">
        <v>298</v>
      </c>
      <c r="O115" s="98"/>
    </row>
    <row r="116" spans="1:15" ht="18" customHeight="1" x14ac:dyDescent="0.25">
      <c r="A116" s="26" t="s">
        <v>299</v>
      </c>
      <c r="B116" s="27" t="s">
        <v>300</v>
      </c>
      <c r="C116" s="26" t="s">
        <v>62</v>
      </c>
      <c r="D116" s="26" t="s">
        <v>38</v>
      </c>
      <c r="E116" s="26" t="s">
        <v>301</v>
      </c>
      <c r="F116" s="26">
        <v>54</v>
      </c>
      <c r="G116" s="26">
        <v>54.5</v>
      </c>
      <c r="H116" s="26">
        <v>0</v>
      </c>
      <c r="I116" s="26">
        <v>17</v>
      </c>
      <c r="J116" s="26">
        <v>54.5</v>
      </c>
      <c r="K116" s="26">
        <v>54.5</v>
      </c>
      <c r="L116" s="26">
        <v>54.5</v>
      </c>
      <c r="M116" s="26">
        <v>54.5</v>
      </c>
      <c r="N116" s="97" t="s">
        <v>45</v>
      </c>
      <c r="O116" s="98"/>
    </row>
    <row r="117" spans="1:15" ht="18" customHeight="1" x14ac:dyDescent="0.25">
      <c r="A117" s="100" t="s">
        <v>302</v>
      </c>
      <c r="B117" s="98"/>
      <c r="C117" s="98"/>
      <c r="D117" s="98"/>
      <c r="E117" s="98"/>
      <c r="F117" s="30">
        <v>654</v>
      </c>
      <c r="G117" s="30">
        <v>654.21</v>
      </c>
      <c r="H117" s="30">
        <v>248</v>
      </c>
      <c r="I117" s="30">
        <v>301</v>
      </c>
      <c r="J117" s="30">
        <v>599.1</v>
      </c>
      <c r="K117" s="30">
        <v>549</v>
      </c>
      <c r="L117" s="30">
        <v>331.6</v>
      </c>
      <c r="M117" s="30">
        <v>353.5</v>
      </c>
      <c r="N117" s="100"/>
      <c r="O117" s="98"/>
    </row>
    <row r="118" spans="1:15" ht="18" customHeight="1" x14ac:dyDescent="0.25">
      <c r="A118" s="26" t="s">
        <v>303</v>
      </c>
      <c r="B118" s="27" t="s">
        <v>304</v>
      </c>
      <c r="C118" s="26" t="s">
        <v>23</v>
      </c>
      <c r="D118" s="26" t="s">
        <v>24</v>
      </c>
      <c r="E118" s="26" t="s">
        <v>305</v>
      </c>
      <c r="F118" s="26">
        <v>97</v>
      </c>
      <c r="G118" s="26">
        <v>80</v>
      </c>
      <c r="H118" s="26">
        <v>36</v>
      </c>
      <c r="I118" s="26">
        <v>38</v>
      </c>
      <c r="J118" s="26">
        <v>36</v>
      </c>
      <c r="K118" s="26">
        <v>36</v>
      </c>
      <c r="L118" s="26">
        <v>36</v>
      </c>
      <c r="M118" s="26">
        <v>36</v>
      </c>
      <c r="N118" s="97" t="s">
        <v>45</v>
      </c>
      <c r="O118" s="98"/>
    </row>
    <row r="119" spans="1:15" ht="18" customHeight="1" x14ac:dyDescent="0.25">
      <c r="A119" s="26" t="s">
        <v>306</v>
      </c>
      <c r="B119" s="27" t="s">
        <v>307</v>
      </c>
      <c r="C119" s="26" t="s">
        <v>23</v>
      </c>
      <c r="D119" s="26" t="s">
        <v>24</v>
      </c>
      <c r="E119" s="26" t="s">
        <v>308</v>
      </c>
      <c r="F119" s="26">
        <v>104</v>
      </c>
      <c r="G119" s="26">
        <v>90</v>
      </c>
      <c r="H119" s="26">
        <v>30</v>
      </c>
      <c r="I119" s="26">
        <v>30</v>
      </c>
      <c r="J119" s="26">
        <v>40</v>
      </c>
      <c r="K119" s="26">
        <v>40</v>
      </c>
      <c r="L119" s="26">
        <v>40</v>
      </c>
      <c r="M119" s="26">
        <v>40</v>
      </c>
      <c r="N119" s="97" t="s">
        <v>45</v>
      </c>
      <c r="O119" s="98"/>
    </row>
    <row r="120" spans="1:15" ht="18" customHeight="1" x14ac:dyDescent="0.25">
      <c r="A120" s="26" t="s">
        <v>309</v>
      </c>
      <c r="B120" s="27" t="s">
        <v>310</v>
      </c>
      <c r="C120" s="26" t="s">
        <v>23</v>
      </c>
      <c r="D120" s="26" t="s">
        <v>38</v>
      </c>
      <c r="E120" s="26" t="s">
        <v>311</v>
      </c>
      <c r="F120" s="26">
        <v>163</v>
      </c>
      <c r="G120" s="26">
        <v>163</v>
      </c>
      <c r="H120" s="26">
        <v>152</v>
      </c>
      <c r="I120" s="26">
        <v>134</v>
      </c>
      <c r="J120" s="26">
        <v>163</v>
      </c>
      <c r="K120" s="26">
        <v>163</v>
      </c>
      <c r="L120" s="26">
        <v>147</v>
      </c>
      <c r="M120" s="26">
        <v>147</v>
      </c>
      <c r="N120" s="97" t="s">
        <v>59</v>
      </c>
      <c r="O120" s="98"/>
    </row>
    <row r="121" spans="1:15" ht="18" customHeight="1" x14ac:dyDescent="0.25">
      <c r="A121" s="26" t="s">
        <v>312</v>
      </c>
      <c r="B121" s="27" t="s">
        <v>313</v>
      </c>
      <c r="C121" s="26" t="s">
        <v>23</v>
      </c>
      <c r="D121" s="26" t="s">
        <v>24</v>
      </c>
      <c r="E121" s="26" t="s">
        <v>314</v>
      </c>
      <c r="F121" s="26">
        <v>330</v>
      </c>
      <c r="G121" s="26">
        <v>330</v>
      </c>
      <c r="H121" s="26">
        <v>0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97" t="s">
        <v>315</v>
      </c>
      <c r="O121" s="98"/>
    </row>
    <row r="122" spans="1:15" ht="18" customHeight="1" x14ac:dyDescent="0.25">
      <c r="A122" s="28" t="s">
        <v>316</v>
      </c>
      <c r="B122" s="29" t="s">
        <v>317</v>
      </c>
      <c r="C122" s="28" t="s">
        <v>23</v>
      </c>
      <c r="D122" s="28" t="s">
        <v>318</v>
      </c>
      <c r="E122" s="28" t="s">
        <v>319</v>
      </c>
      <c r="F122" s="28">
        <v>50</v>
      </c>
      <c r="G122" s="28">
        <v>47.997999999999998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99" t="s">
        <v>52</v>
      </c>
      <c r="O122" s="98"/>
    </row>
    <row r="123" spans="1:15" ht="18" customHeight="1" x14ac:dyDescent="0.25">
      <c r="A123" s="26" t="s">
        <v>320</v>
      </c>
      <c r="B123" s="27" t="s">
        <v>321</v>
      </c>
      <c r="C123" s="26" t="s">
        <v>23</v>
      </c>
      <c r="D123" s="26" t="s">
        <v>70</v>
      </c>
      <c r="E123" s="26" t="s">
        <v>261</v>
      </c>
      <c r="F123" s="26">
        <v>11</v>
      </c>
      <c r="G123" s="26">
        <v>11</v>
      </c>
      <c r="H123" s="26">
        <v>0</v>
      </c>
      <c r="I123" s="26">
        <v>0</v>
      </c>
      <c r="J123" s="26">
        <v>0</v>
      </c>
      <c r="K123" s="26">
        <v>0</v>
      </c>
      <c r="L123" s="26">
        <v>0</v>
      </c>
      <c r="M123" s="26">
        <v>0</v>
      </c>
      <c r="N123" s="97" t="s">
        <v>45</v>
      </c>
      <c r="O123" s="98"/>
    </row>
    <row r="124" spans="1:15" ht="18" customHeight="1" x14ac:dyDescent="0.25">
      <c r="A124" s="26" t="s">
        <v>322</v>
      </c>
      <c r="B124" s="27" t="s">
        <v>323</v>
      </c>
      <c r="C124" s="26" t="s">
        <v>23</v>
      </c>
      <c r="D124" s="26" t="s">
        <v>24</v>
      </c>
      <c r="E124" s="26" t="s">
        <v>324</v>
      </c>
      <c r="F124" s="26">
        <v>70</v>
      </c>
      <c r="G124" s="26">
        <v>66.569999999999993</v>
      </c>
      <c r="H124" s="26">
        <v>28</v>
      </c>
      <c r="I124" s="26">
        <v>30</v>
      </c>
      <c r="J124" s="26">
        <v>30</v>
      </c>
      <c r="K124" s="26">
        <v>30</v>
      </c>
      <c r="L124" s="26">
        <v>30</v>
      </c>
      <c r="M124" s="26">
        <v>30</v>
      </c>
      <c r="N124" s="97" t="s">
        <v>45</v>
      </c>
      <c r="O124" s="98"/>
    </row>
    <row r="125" spans="1:15" ht="18" customHeight="1" x14ac:dyDescent="0.25">
      <c r="A125" s="26" t="s">
        <v>325</v>
      </c>
      <c r="B125" s="27" t="s">
        <v>326</v>
      </c>
      <c r="C125" s="26" t="s">
        <v>23</v>
      </c>
      <c r="D125" s="26" t="s">
        <v>327</v>
      </c>
      <c r="E125" s="26" t="s">
        <v>328</v>
      </c>
      <c r="F125" s="26">
        <v>86</v>
      </c>
      <c r="G125" s="26">
        <v>86</v>
      </c>
      <c r="H125" s="26">
        <v>78</v>
      </c>
      <c r="I125" s="26">
        <v>78</v>
      </c>
      <c r="J125" s="26">
        <v>83</v>
      </c>
      <c r="K125" s="26">
        <v>83</v>
      </c>
      <c r="L125" s="26">
        <v>83</v>
      </c>
      <c r="M125" s="26">
        <v>83</v>
      </c>
      <c r="N125" s="97" t="s">
        <v>45</v>
      </c>
      <c r="O125" s="98"/>
    </row>
    <row r="126" spans="1:15" ht="18" customHeight="1" x14ac:dyDescent="0.25">
      <c r="A126" s="26" t="s">
        <v>329</v>
      </c>
      <c r="B126" s="27" t="s">
        <v>330</v>
      </c>
      <c r="C126" s="26" t="s">
        <v>23</v>
      </c>
      <c r="D126" s="26" t="s">
        <v>24</v>
      </c>
      <c r="E126" s="26" t="s">
        <v>331</v>
      </c>
      <c r="F126" s="26">
        <v>100</v>
      </c>
      <c r="G126" s="26">
        <v>100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0</v>
      </c>
      <c r="N126" s="97" t="s">
        <v>174</v>
      </c>
      <c r="O126" s="98"/>
    </row>
    <row r="127" spans="1:15" ht="18" customHeight="1" x14ac:dyDescent="0.25">
      <c r="A127" s="26" t="s">
        <v>332</v>
      </c>
      <c r="B127" s="27" t="s">
        <v>333</v>
      </c>
      <c r="C127" s="26" t="s">
        <v>23</v>
      </c>
      <c r="D127" s="26" t="s">
        <v>24</v>
      </c>
      <c r="E127" s="26" t="s">
        <v>334</v>
      </c>
      <c r="F127" s="26">
        <v>231</v>
      </c>
      <c r="G127" s="26">
        <v>225</v>
      </c>
      <c r="H127" s="26">
        <v>173</v>
      </c>
      <c r="I127" s="26">
        <v>173</v>
      </c>
      <c r="J127" s="26">
        <v>170</v>
      </c>
      <c r="K127" s="26">
        <v>170</v>
      </c>
      <c r="L127" s="26">
        <v>170</v>
      </c>
      <c r="M127" s="26">
        <v>170</v>
      </c>
      <c r="N127" s="97" t="s">
        <v>45</v>
      </c>
      <c r="O127" s="98"/>
    </row>
    <row r="128" spans="1:15" ht="18" customHeight="1" x14ac:dyDescent="0.25">
      <c r="A128" s="26" t="s">
        <v>335</v>
      </c>
      <c r="B128" s="27" t="s">
        <v>336</v>
      </c>
      <c r="C128" s="26" t="s">
        <v>23</v>
      </c>
      <c r="D128" s="26" t="s">
        <v>24</v>
      </c>
      <c r="E128" s="26" t="s">
        <v>337</v>
      </c>
      <c r="F128" s="26">
        <v>20</v>
      </c>
      <c r="G128" s="26">
        <v>20</v>
      </c>
      <c r="H128" s="26">
        <v>16</v>
      </c>
      <c r="I128" s="26">
        <v>17</v>
      </c>
      <c r="J128" s="26">
        <v>20</v>
      </c>
      <c r="K128" s="26">
        <v>20</v>
      </c>
      <c r="L128" s="26">
        <v>20</v>
      </c>
      <c r="M128" s="26">
        <v>20</v>
      </c>
      <c r="N128" s="97" t="s">
        <v>45</v>
      </c>
      <c r="O128" s="98"/>
    </row>
    <row r="129" spans="1:15" ht="18" customHeight="1" x14ac:dyDescent="0.25">
      <c r="A129" s="26" t="s">
        <v>338</v>
      </c>
      <c r="B129" s="27" t="s">
        <v>339</v>
      </c>
      <c r="C129" s="26" t="s">
        <v>23</v>
      </c>
      <c r="D129" s="26" t="s">
        <v>70</v>
      </c>
      <c r="E129" s="26" t="s">
        <v>340</v>
      </c>
      <c r="F129" s="26">
        <v>25</v>
      </c>
      <c r="G129" s="26">
        <v>25</v>
      </c>
      <c r="H129" s="26">
        <v>0</v>
      </c>
      <c r="I129" s="26">
        <v>0</v>
      </c>
      <c r="J129" s="26">
        <v>25</v>
      </c>
      <c r="K129" s="26">
        <v>25</v>
      </c>
      <c r="L129" s="26">
        <v>10</v>
      </c>
      <c r="M129" s="26">
        <v>10</v>
      </c>
      <c r="N129" s="97" t="s">
        <v>45</v>
      </c>
      <c r="O129" s="98"/>
    </row>
    <row r="130" spans="1:15" ht="18" customHeight="1" x14ac:dyDescent="0.25">
      <c r="A130" s="26" t="s">
        <v>341</v>
      </c>
      <c r="B130" s="27" t="s">
        <v>342</v>
      </c>
      <c r="C130" s="26" t="s">
        <v>23</v>
      </c>
      <c r="D130" s="26" t="s">
        <v>38</v>
      </c>
      <c r="E130" s="26" t="s">
        <v>343</v>
      </c>
      <c r="F130" s="26">
        <v>341</v>
      </c>
      <c r="G130" s="26">
        <v>341</v>
      </c>
      <c r="H130" s="26">
        <v>310</v>
      </c>
      <c r="I130" s="26">
        <v>295</v>
      </c>
      <c r="J130" s="26">
        <v>341</v>
      </c>
      <c r="K130" s="26">
        <v>341</v>
      </c>
      <c r="L130" s="26">
        <v>307</v>
      </c>
      <c r="M130" s="26">
        <v>307</v>
      </c>
      <c r="N130" s="97" t="s">
        <v>59</v>
      </c>
      <c r="O130" s="98"/>
    </row>
    <row r="131" spans="1:15" ht="18" customHeight="1" x14ac:dyDescent="0.25">
      <c r="A131" s="26" t="s">
        <v>344</v>
      </c>
      <c r="B131" s="27" t="s">
        <v>345</v>
      </c>
      <c r="C131" s="26" t="s">
        <v>23</v>
      </c>
      <c r="D131" s="26" t="s">
        <v>24</v>
      </c>
      <c r="E131" s="26" t="s">
        <v>346</v>
      </c>
      <c r="F131" s="26">
        <v>400</v>
      </c>
      <c r="G131" s="26">
        <v>400</v>
      </c>
      <c r="H131" s="26">
        <v>323</v>
      </c>
      <c r="I131" s="26">
        <v>356</v>
      </c>
      <c r="J131" s="26">
        <v>385</v>
      </c>
      <c r="K131" s="26">
        <v>385</v>
      </c>
      <c r="L131" s="26">
        <v>357</v>
      </c>
      <c r="M131" s="26">
        <v>357</v>
      </c>
      <c r="N131" s="97" t="s">
        <v>347</v>
      </c>
      <c r="O131" s="98"/>
    </row>
    <row r="132" spans="1:15" ht="18" customHeight="1" x14ac:dyDescent="0.25">
      <c r="A132" s="26" t="s">
        <v>348</v>
      </c>
      <c r="B132" s="27" t="s">
        <v>349</v>
      </c>
      <c r="C132" s="26" t="s">
        <v>23</v>
      </c>
      <c r="D132" s="26" t="s">
        <v>24</v>
      </c>
      <c r="E132" s="26" t="s">
        <v>350</v>
      </c>
      <c r="F132" s="26">
        <v>383</v>
      </c>
      <c r="G132" s="26">
        <v>383</v>
      </c>
      <c r="H132" s="26">
        <v>0</v>
      </c>
      <c r="I132" s="26">
        <v>0</v>
      </c>
      <c r="J132" s="26">
        <v>0</v>
      </c>
      <c r="K132" s="26">
        <v>0</v>
      </c>
      <c r="L132" s="26">
        <v>0</v>
      </c>
      <c r="M132" s="26">
        <v>0</v>
      </c>
      <c r="N132" s="97" t="s">
        <v>315</v>
      </c>
      <c r="O132" s="98"/>
    </row>
    <row r="133" spans="1:15" ht="18" customHeight="1" x14ac:dyDescent="0.25">
      <c r="A133" s="100" t="s">
        <v>351</v>
      </c>
      <c r="B133" s="98"/>
      <c r="C133" s="98"/>
      <c r="D133" s="98"/>
      <c r="E133" s="98"/>
      <c r="F133" s="30">
        <v>2411</v>
      </c>
      <c r="G133" s="30">
        <v>2368.5680000000002</v>
      </c>
      <c r="H133" s="30">
        <v>1146</v>
      </c>
      <c r="I133" s="30">
        <v>1151</v>
      </c>
      <c r="J133" s="30">
        <v>1293</v>
      </c>
      <c r="K133" s="30">
        <v>1293</v>
      </c>
      <c r="L133" s="30">
        <v>1200</v>
      </c>
      <c r="M133" s="30">
        <v>1200</v>
      </c>
      <c r="N133" s="100"/>
      <c r="O133" s="98"/>
    </row>
    <row r="134" spans="1:15" ht="18" customHeight="1" x14ac:dyDescent="0.25">
      <c r="A134" s="28" t="s">
        <v>352</v>
      </c>
      <c r="B134" s="29" t="s">
        <v>353</v>
      </c>
      <c r="C134" s="28" t="s">
        <v>354</v>
      </c>
      <c r="D134" s="28" t="s">
        <v>24</v>
      </c>
      <c r="E134" s="28" t="s">
        <v>355</v>
      </c>
      <c r="F134" s="28">
        <v>20</v>
      </c>
      <c r="G134" s="28">
        <v>16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99" t="s">
        <v>52</v>
      </c>
      <c r="O134" s="98"/>
    </row>
    <row r="135" spans="1:15" ht="18" customHeight="1" x14ac:dyDescent="0.25">
      <c r="A135" s="26" t="s">
        <v>356</v>
      </c>
      <c r="B135" s="27" t="s">
        <v>357</v>
      </c>
      <c r="C135" s="26" t="s">
        <v>263</v>
      </c>
      <c r="D135" s="26" t="s">
        <v>263</v>
      </c>
      <c r="E135" s="26" t="s">
        <v>358</v>
      </c>
      <c r="F135" s="26">
        <v>1000</v>
      </c>
      <c r="G135" s="26">
        <v>1000</v>
      </c>
      <c r="H135" s="26">
        <v>922</v>
      </c>
      <c r="I135" s="26">
        <v>926</v>
      </c>
      <c r="J135" s="26">
        <v>1000</v>
      </c>
      <c r="K135" s="26">
        <v>1000</v>
      </c>
      <c r="L135" s="26">
        <v>1000</v>
      </c>
      <c r="M135" s="26">
        <v>1000</v>
      </c>
      <c r="N135" s="97" t="s">
        <v>45</v>
      </c>
      <c r="O135" s="98"/>
    </row>
    <row r="136" spans="1:15" ht="18" customHeight="1" x14ac:dyDescent="0.25">
      <c r="A136" s="26" t="s">
        <v>359</v>
      </c>
      <c r="B136" s="27" t="s">
        <v>360</v>
      </c>
      <c r="C136" s="26" t="s">
        <v>62</v>
      </c>
      <c r="D136" s="26" t="s">
        <v>24</v>
      </c>
      <c r="E136" s="26" t="s">
        <v>361</v>
      </c>
      <c r="F136" s="26">
        <v>54</v>
      </c>
      <c r="G136" s="26">
        <v>50</v>
      </c>
      <c r="H136" s="26">
        <v>0</v>
      </c>
      <c r="I136" s="26">
        <v>0</v>
      </c>
      <c r="J136" s="26">
        <v>42</v>
      </c>
      <c r="K136" s="26">
        <v>42</v>
      </c>
      <c r="L136" s="26">
        <v>44</v>
      </c>
      <c r="M136" s="26">
        <v>44</v>
      </c>
      <c r="N136" s="97" t="s">
        <v>45</v>
      </c>
      <c r="O136" s="98"/>
    </row>
    <row r="137" spans="1:15" ht="18" customHeight="1" x14ac:dyDescent="0.25">
      <c r="A137" s="26" t="s">
        <v>362</v>
      </c>
      <c r="B137" s="27" t="s">
        <v>363</v>
      </c>
      <c r="C137" s="26" t="s">
        <v>364</v>
      </c>
      <c r="D137" s="26" t="s">
        <v>365</v>
      </c>
      <c r="E137" s="26" t="s">
        <v>366</v>
      </c>
      <c r="F137" s="26">
        <v>230</v>
      </c>
      <c r="G137" s="26">
        <v>230</v>
      </c>
      <c r="H137" s="26">
        <v>0</v>
      </c>
      <c r="I137" s="26">
        <v>0</v>
      </c>
      <c r="J137" s="26">
        <v>230</v>
      </c>
      <c r="K137" s="26">
        <v>230</v>
      </c>
      <c r="L137" s="26">
        <v>230</v>
      </c>
      <c r="M137" s="26">
        <v>230</v>
      </c>
      <c r="N137" s="97" t="s">
        <v>45</v>
      </c>
      <c r="O137" s="98"/>
    </row>
    <row r="138" spans="1:15" ht="18" customHeight="1" x14ac:dyDescent="0.25">
      <c r="A138" s="26" t="s">
        <v>367</v>
      </c>
      <c r="B138" s="27" t="s">
        <v>368</v>
      </c>
      <c r="C138" s="26" t="s">
        <v>62</v>
      </c>
      <c r="D138" s="26" t="s">
        <v>24</v>
      </c>
      <c r="E138" s="26" t="s">
        <v>369</v>
      </c>
      <c r="F138" s="26">
        <v>109</v>
      </c>
      <c r="G138" s="26">
        <v>100</v>
      </c>
      <c r="H138" s="26">
        <v>0</v>
      </c>
      <c r="I138" s="26">
        <v>0</v>
      </c>
      <c r="J138" s="26">
        <v>50</v>
      </c>
      <c r="K138" s="26">
        <v>50</v>
      </c>
      <c r="L138" s="26">
        <v>50</v>
      </c>
      <c r="M138" s="26">
        <v>50</v>
      </c>
      <c r="N138" s="97" t="s">
        <v>45</v>
      </c>
      <c r="O138" s="98"/>
    </row>
    <row r="139" spans="1:15" ht="18" customHeight="1" x14ac:dyDescent="0.25">
      <c r="A139" s="26" t="s">
        <v>370</v>
      </c>
      <c r="B139" s="27" t="s">
        <v>371</v>
      </c>
      <c r="C139" s="26" t="s">
        <v>23</v>
      </c>
      <c r="D139" s="26" t="s">
        <v>365</v>
      </c>
      <c r="E139" s="26" t="s">
        <v>372</v>
      </c>
      <c r="F139" s="26">
        <v>410</v>
      </c>
      <c r="G139" s="26">
        <v>410</v>
      </c>
      <c r="H139" s="26">
        <v>222</v>
      </c>
      <c r="I139" s="26">
        <v>212</v>
      </c>
      <c r="J139" s="26">
        <v>410</v>
      </c>
      <c r="K139" s="26">
        <v>410</v>
      </c>
      <c r="L139" s="26">
        <v>300</v>
      </c>
      <c r="M139" s="26">
        <v>300</v>
      </c>
      <c r="N139" s="97" t="s">
        <v>35</v>
      </c>
      <c r="O139" s="98"/>
    </row>
    <row r="140" spans="1:15" ht="18" customHeight="1" x14ac:dyDescent="0.25">
      <c r="A140" s="26" t="s">
        <v>373</v>
      </c>
      <c r="B140" s="27" t="s">
        <v>374</v>
      </c>
      <c r="C140" s="26" t="s">
        <v>62</v>
      </c>
      <c r="D140" s="26" t="s">
        <v>38</v>
      </c>
      <c r="E140" s="26" t="s">
        <v>375</v>
      </c>
      <c r="F140" s="26">
        <v>105</v>
      </c>
      <c r="G140" s="26">
        <v>105</v>
      </c>
      <c r="H140" s="26">
        <v>0</v>
      </c>
      <c r="I140" s="26">
        <v>52</v>
      </c>
      <c r="J140" s="26">
        <v>105</v>
      </c>
      <c r="K140" s="26">
        <v>105</v>
      </c>
      <c r="L140" s="26">
        <v>105</v>
      </c>
      <c r="M140" s="26">
        <v>105</v>
      </c>
      <c r="N140" s="97" t="s">
        <v>45</v>
      </c>
      <c r="O140" s="98"/>
    </row>
    <row r="141" spans="1:15" ht="18" customHeight="1" x14ac:dyDescent="0.25">
      <c r="A141" s="26" t="s">
        <v>376</v>
      </c>
      <c r="B141" s="27" t="s">
        <v>377</v>
      </c>
      <c r="C141" s="26" t="s">
        <v>62</v>
      </c>
      <c r="D141" s="26" t="s">
        <v>365</v>
      </c>
      <c r="E141" s="26" t="s">
        <v>378</v>
      </c>
      <c r="F141" s="26">
        <v>105</v>
      </c>
      <c r="G141" s="26">
        <v>105</v>
      </c>
      <c r="H141" s="26">
        <v>0</v>
      </c>
      <c r="I141" s="26">
        <v>0</v>
      </c>
      <c r="J141" s="26">
        <v>105</v>
      </c>
      <c r="K141" s="26">
        <v>105</v>
      </c>
      <c r="L141" s="26">
        <v>0.01</v>
      </c>
      <c r="M141" s="26">
        <v>0.01</v>
      </c>
      <c r="N141" s="97" t="s">
        <v>85</v>
      </c>
      <c r="O141" s="98"/>
    </row>
    <row r="142" spans="1:15" ht="18" customHeight="1" x14ac:dyDescent="0.25">
      <c r="A142" s="26" t="s">
        <v>379</v>
      </c>
      <c r="B142" s="27" t="s">
        <v>380</v>
      </c>
      <c r="C142" s="26" t="s">
        <v>134</v>
      </c>
      <c r="D142" s="26" t="s">
        <v>38</v>
      </c>
      <c r="E142" s="26" t="s">
        <v>352</v>
      </c>
      <c r="F142" s="26">
        <v>100</v>
      </c>
      <c r="G142" s="26">
        <v>100</v>
      </c>
      <c r="H142" s="26">
        <v>94.63</v>
      </c>
      <c r="I142" s="26">
        <v>0</v>
      </c>
      <c r="J142" s="26">
        <v>95</v>
      </c>
      <c r="K142" s="26">
        <v>0</v>
      </c>
      <c r="L142" s="26">
        <v>95</v>
      </c>
      <c r="M142" s="26">
        <v>0</v>
      </c>
      <c r="N142" s="97" t="s">
        <v>45</v>
      </c>
      <c r="O142" s="98"/>
    </row>
    <row r="143" spans="1:15" ht="18" customHeight="1" x14ac:dyDescent="0.25">
      <c r="A143" s="26" t="s">
        <v>381</v>
      </c>
      <c r="B143" s="27" t="s">
        <v>382</v>
      </c>
      <c r="C143" s="26" t="s">
        <v>364</v>
      </c>
      <c r="D143" s="26" t="s">
        <v>24</v>
      </c>
      <c r="E143" s="26" t="s">
        <v>383</v>
      </c>
      <c r="F143" s="26">
        <v>336</v>
      </c>
      <c r="G143" s="26">
        <v>336</v>
      </c>
      <c r="H143" s="26">
        <v>0</v>
      </c>
      <c r="I143" s="26">
        <v>0</v>
      </c>
      <c r="J143" s="26">
        <v>336</v>
      </c>
      <c r="K143" s="26">
        <v>336</v>
      </c>
      <c r="L143" s="26">
        <v>336</v>
      </c>
      <c r="M143" s="26">
        <v>336</v>
      </c>
      <c r="N143" s="97" t="s">
        <v>45</v>
      </c>
      <c r="O143" s="98"/>
    </row>
    <row r="144" spans="1:15" ht="18" customHeight="1" x14ac:dyDescent="0.25">
      <c r="A144" s="26" t="s">
        <v>384</v>
      </c>
      <c r="B144" s="27" t="s">
        <v>385</v>
      </c>
      <c r="C144" s="26" t="s">
        <v>209</v>
      </c>
      <c r="D144" s="26" t="s">
        <v>24</v>
      </c>
      <c r="E144" s="26" t="s">
        <v>386</v>
      </c>
      <c r="F144" s="26">
        <v>1234</v>
      </c>
      <c r="G144" s="26">
        <v>1234.2</v>
      </c>
      <c r="H144" s="26">
        <v>1082</v>
      </c>
      <c r="I144" s="26">
        <v>1220</v>
      </c>
      <c r="J144" s="26">
        <v>617.1</v>
      </c>
      <c r="K144" s="26">
        <v>617.1</v>
      </c>
      <c r="L144" s="26">
        <v>1234</v>
      </c>
      <c r="M144" s="26">
        <v>1234</v>
      </c>
      <c r="N144" s="97" t="s">
        <v>45</v>
      </c>
      <c r="O144" s="98"/>
    </row>
    <row r="145" spans="1:15" ht="18" customHeight="1" x14ac:dyDescent="0.25">
      <c r="A145" s="26" t="s">
        <v>356</v>
      </c>
      <c r="B145" s="27" t="s">
        <v>387</v>
      </c>
      <c r="C145" s="26" t="s">
        <v>263</v>
      </c>
      <c r="D145" s="26" t="s">
        <v>263</v>
      </c>
      <c r="E145" s="26" t="s">
        <v>388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97" t="s">
        <v>45</v>
      </c>
      <c r="O145" s="98"/>
    </row>
    <row r="146" spans="1:15" ht="18" customHeight="1" x14ac:dyDescent="0.25">
      <c r="A146" s="100" t="s">
        <v>389</v>
      </c>
      <c r="B146" s="98"/>
      <c r="C146" s="98"/>
      <c r="D146" s="98"/>
      <c r="E146" s="98"/>
      <c r="F146" s="30">
        <v>3703</v>
      </c>
      <c r="G146" s="30">
        <v>3686.2</v>
      </c>
      <c r="H146" s="30">
        <v>2320.63</v>
      </c>
      <c r="I146" s="30">
        <v>2410</v>
      </c>
      <c r="J146" s="30">
        <v>2990.1</v>
      </c>
      <c r="K146" s="30">
        <v>2895.1</v>
      </c>
      <c r="L146" s="30">
        <v>3394.01</v>
      </c>
      <c r="M146" s="30">
        <v>3299.01</v>
      </c>
      <c r="N146" s="100"/>
      <c r="O146" s="98"/>
    </row>
    <row r="147" spans="1:15" ht="18" customHeight="1" x14ac:dyDescent="0.25">
      <c r="A147" s="26"/>
      <c r="B147" s="27" t="s">
        <v>390</v>
      </c>
      <c r="C147" s="26" t="s">
        <v>209</v>
      </c>
      <c r="D147" s="26" t="s">
        <v>109</v>
      </c>
      <c r="E147" s="26" t="s">
        <v>386</v>
      </c>
      <c r="F147" s="26">
        <v>0</v>
      </c>
      <c r="G147" s="26">
        <v>1320</v>
      </c>
      <c r="H147" s="26">
        <v>310</v>
      </c>
      <c r="I147" s="26">
        <v>345</v>
      </c>
      <c r="J147" s="26">
        <v>620</v>
      </c>
      <c r="K147" s="26">
        <v>620</v>
      </c>
      <c r="L147" s="26">
        <v>620</v>
      </c>
      <c r="M147" s="26">
        <v>620</v>
      </c>
      <c r="N147" s="97" t="s">
        <v>391</v>
      </c>
      <c r="O147" s="98"/>
    </row>
    <row r="148" spans="1:15" ht="18" customHeight="1" x14ac:dyDescent="0.25">
      <c r="A148" s="26" t="s">
        <v>392</v>
      </c>
      <c r="B148" s="27" t="s">
        <v>393</v>
      </c>
      <c r="C148" s="26" t="s">
        <v>62</v>
      </c>
      <c r="D148" s="26" t="s">
        <v>38</v>
      </c>
      <c r="E148" s="26" t="s">
        <v>394</v>
      </c>
      <c r="F148" s="26">
        <v>110</v>
      </c>
      <c r="G148" s="26">
        <v>110</v>
      </c>
      <c r="H148" s="26">
        <v>0</v>
      </c>
      <c r="I148" s="26">
        <v>16</v>
      </c>
      <c r="J148" s="26">
        <v>110</v>
      </c>
      <c r="K148" s="26">
        <v>110</v>
      </c>
      <c r="L148" s="26">
        <v>110</v>
      </c>
      <c r="M148" s="26">
        <v>110</v>
      </c>
      <c r="N148" s="97" t="s">
        <v>45</v>
      </c>
      <c r="O148" s="98"/>
    </row>
    <row r="149" spans="1:15" ht="18" customHeight="1" x14ac:dyDescent="0.25">
      <c r="A149" s="26" t="s">
        <v>395</v>
      </c>
      <c r="B149" s="27" t="s">
        <v>396</v>
      </c>
      <c r="C149" s="26" t="s">
        <v>23</v>
      </c>
      <c r="D149" s="26" t="s">
        <v>318</v>
      </c>
      <c r="E149" s="26" t="s">
        <v>397</v>
      </c>
      <c r="F149" s="26">
        <v>40</v>
      </c>
      <c r="G149" s="26">
        <v>40</v>
      </c>
      <c r="H149" s="26">
        <v>9</v>
      </c>
      <c r="I149" s="26">
        <v>11</v>
      </c>
      <c r="J149" s="26">
        <v>10.119999999999999</v>
      </c>
      <c r="K149" s="26">
        <v>10.119999999999999</v>
      </c>
      <c r="L149" s="26">
        <v>10.119999999999999</v>
      </c>
      <c r="M149" s="26">
        <v>10.119999999999999</v>
      </c>
      <c r="N149" s="97" t="s">
        <v>45</v>
      </c>
      <c r="O149" s="98"/>
    </row>
    <row r="150" spans="1:15" ht="18" customHeight="1" x14ac:dyDescent="0.25">
      <c r="A150" s="26" t="s">
        <v>398</v>
      </c>
      <c r="B150" s="27" t="s">
        <v>399</v>
      </c>
      <c r="C150" s="26" t="s">
        <v>23</v>
      </c>
      <c r="D150" s="26" t="s">
        <v>24</v>
      </c>
      <c r="E150" s="26" t="s">
        <v>400</v>
      </c>
      <c r="F150" s="26">
        <v>194</v>
      </c>
      <c r="G150" s="26">
        <v>193.1</v>
      </c>
      <c r="H150" s="26">
        <v>105</v>
      </c>
      <c r="I150" s="26">
        <v>105</v>
      </c>
      <c r="J150" s="26">
        <v>125</v>
      </c>
      <c r="K150" s="26">
        <v>125</v>
      </c>
      <c r="L150" s="26">
        <v>113</v>
      </c>
      <c r="M150" s="26">
        <v>113</v>
      </c>
      <c r="N150" s="97" t="s">
        <v>401</v>
      </c>
      <c r="O150" s="98"/>
    </row>
    <row r="151" spans="1:15" ht="18" customHeight="1" x14ac:dyDescent="0.25">
      <c r="A151" s="26" t="s">
        <v>402</v>
      </c>
      <c r="B151" s="27" t="s">
        <v>403</v>
      </c>
      <c r="C151" s="26" t="s">
        <v>209</v>
      </c>
      <c r="D151" s="26" t="s">
        <v>404</v>
      </c>
      <c r="E151" s="26" t="s">
        <v>405</v>
      </c>
      <c r="F151" s="26">
        <v>1244</v>
      </c>
      <c r="G151" s="26">
        <v>1244</v>
      </c>
      <c r="H151" s="26">
        <v>1039</v>
      </c>
      <c r="I151" s="26">
        <v>1244</v>
      </c>
      <c r="J151" s="26">
        <v>1244</v>
      </c>
      <c r="K151" s="26">
        <v>1244</v>
      </c>
      <c r="L151" s="26">
        <v>1204</v>
      </c>
      <c r="M151" s="26">
        <v>1204</v>
      </c>
      <c r="N151" s="97" t="s">
        <v>59</v>
      </c>
      <c r="O151" s="98"/>
    </row>
    <row r="152" spans="1:15" ht="18" customHeight="1" x14ac:dyDescent="0.25">
      <c r="A152" s="26" t="s">
        <v>406</v>
      </c>
      <c r="B152" s="27" t="s">
        <v>407</v>
      </c>
      <c r="C152" s="26" t="s">
        <v>142</v>
      </c>
      <c r="D152" s="26" t="s">
        <v>38</v>
      </c>
      <c r="E152" s="26" t="s">
        <v>408</v>
      </c>
      <c r="F152" s="26">
        <v>220</v>
      </c>
      <c r="G152" s="26">
        <v>220</v>
      </c>
      <c r="H152" s="26">
        <v>220</v>
      </c>
      <c r="I152" s="26">
        <v>220</v>
      </c>
      <c r="J152" s="26">
        <v>220</v>
      </c>
      <c r="K152" s="26">
        <v>220</v>
      </c>
      <c r="L152" s="26">
        <v>220</v>
      </c>
      <c r="M152" s="26">
        <v>220</v>
      </c>
      <c r="N152" s="97" t="s">
        <v>409</v>
      </c>
      <c r="O152" s="98"/>
    </row>
    <row r="153" spans="1:15" ht="18" customHeight="1" x14ac:dyDescent="0.25">
      <c r="A153" s="26" t="s">
        <v>410</v>
      </c>
      <c r="B153" s="27" t="s">
        <v>411</v>
      </c>
      <c r="C153" s="26" t="s">
        <v>62</v>
      </c>
      <c r="D153" s="26" t="s">
        <v>38</v>
      </c>
      <c r="E153" s="26" t="s">
        <v>412</v>
      </c>
      <c r="F153" s="26">
        <v>150</v>
      </c>
      <c r="G153" s="26">
        <v>150</v>
      </c>
      <c r="H153" s="26">
        <v>0</v>
      </c>
      <c r="I153" s="26">
        <v>0</v>
      </c>
      <c r="J153" s="26">
        <v>150</v>
      </c>
      <c r="K153" s="26">
        <v>150</v>
      </c>
      <c r="L153" s="26">
        <v>150</v>
      </c>
      <c r="M153" s="26">
        <v>150</v>
      </c>
      <c r="N153" s="97" t="s">
        <v>45</v>
      </c>
      <c r="O153" s="98"/>
    </row>
    <row r="154" spans="1:15" ht="18" customHeight="1" x14ac:dyDescent="0.25">
      <c r="A154" s="26" t="s">
        <v>413</v>
      </c>
      <c r="B154" s="27" t="s">
        <v>414</v>
      </c>
      <c r="C154" s="26" t="s">
        <v>209</v>
      </c>
      <c r="D154" s="26" t="s">
        <v>404</v>
      </c>
      <c r="E154" s="26" t="s">
        <v>415</v>
      </c>
      <c r="F154" s="26">
        <v>307</v>
      </c>
      <c r="G154" s="26">
        <v>307</v>
      </c>
      <c r="H154" s="26">
        <v>250</v>
      </c>
      <c r="I154" s="26">
        <v>307</v>
      </c>
      <c r="J154" s="26">
        <v>307</v>
      </c>
      <c r="K154" s="26">
        <v>307</v>
      </c>
      <c r="L154" s="26">
        <v>307</v>
      </c>
      <c r="M154" s="26">
        <v>307</v>
      </c>
      <c r="N154" s="97" t="s">
        <v>45</v>
      </c>
      <c r="O154" s="98"/>
    </row>
    <row r="155" spans="1:15" ht="18" customHeight="1" x14ac:dyDescent="0.25">
      <c r="A155" s="26" t="s">
        <v>416</v>
      </c>
      <c r="B155" s="27" t="s">
        <v>417</v>
      </c>
      <c r="C155" s="26" t="s">
        <v>134</v>
      </c>
      <c r="D155" s="26" t="s">
        <v>38</v>
      </c>
      <c r="E155" s="26"/>
      <c r="F155" s="26">
        <v>1</v>
      </c>
      <c r="G155" s="26">
        <v>1</v>
      </c>
      <c r="H155" s="26">
        <v>0.67</v>
      </c>
      <c r="I155" s="26">
        <v>0</v>
      </c>
      <c r="J155" s="26">
        <v>1</v>
      </c>
      <c r="K155" s="26">
        <v>0</v>
      </c>
      <c r="L155" s="26">
        <v>1</v>
      </c>
      <c r="M155" s="26">
        <v>0</v>
      </c>
      <c r="N155" s="97" t="s">
        <v>45</v>
      </c>
      <c r="O155" s="98"/>
    </row>
    <row r="156" spans="1:15" ht="18" customHeight="1" x14ac:dyDescent="0.25">
      <c r="A156" s="100" t="s">
        <v>418</v>
      </c>
      <c r="B156" s="98"/>
      <c r="C156" s="98"/>
      <c r="D156" s="98"/>
      <c r="E156" s="98"/>
      <c r="F156" s="30">
        <v>2266</v>
      </c>
      <c r="G156" s="30">
        <v>3585.1</v>
      </c>
      <c r="H156" s="30">
        <v>1933.67</v>
      </c>
      <c r="I156" s="30">
        <v>2248</v>
      </c>
      <c r="J156" s="30">
        <v>2787.12</v>
      </c>
      <c r="K156" s="30">
        <v>2786.12</v>
      </c>
      <c r="L156" s="30">
        <v>2735.12</v>
      </c>
      <c r="M156" s="30">
        <v>2734.12</v>
      </c>
      <c r="N156" s="100"/>
      <c r="O156" s="98"/>
    </row>
    <row r="157" spans="1:15" ht="18" customHeight="1" x14ac:dyDescent="0.25">
      <c r="A157" s="26" t="s">
        <v>419</v>
      </c>
      <c r="B157" s="27" t="s">
        <v>420</v>
      </c>
      <c r="C157" s="26" t="s">
        <v>23</v>
      </c>
      <c r="D157" s="26" t="s">
        <v>24</v>
      </c>
      <c r="E157" s="26" t="s">
        <v>421</v>
      </c>
      <c r="F157" s="26">
        <v>71</v>
      </c>
      <c r="G157" s="26">
        <v>71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97" t="s">
        <v>35</v>
      </c>
      <c r="O157" s="98"/>
    </row>
    <row r="158" spans="1:15" ht="18" customHeight="1" x14ac:dyDescent="0.25">
      <c r="A158" s="26"/>
      <c r="B158" s="27" t="s">
        <v>422</v>
      </c>
      <c r="C158" s="26" t="s">
        <v>23</v>
      </c>
      <c r="D158" s="26" t="s">
        <v>24</v>
      </c>
      <c r="E158" s="26" t="s">
        <v>331</v>
      </c>
      <c r="F158" s="26">
        <v>100</v>
      </c>
      <c r="G158" s="26">
        <v>100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0</v>
      </c>
      <c r="N158" s="97" t="s">
        <v>423</v>
      </c>
      <c r="O158" s="98"/>
    </row>
    <row r="159" spans="1:15" ht="18" customHeight="1" x14ac:dyDescent="0.25">
      <c r="A159" s="26" t="s">
        <v>424</v>
      </c>
      <c r="B159" s="27" t="s">
        <v>425</v>
      </c>
      <c r="C159" s="26" t="s">
        <v>62</v>
      </c>
      <c r="D159" s="26" t="s">
        <v>24</v>
      </c>
      <c r="E159" s="26" t="s">
        <v>110</v>
      </c>
      <c r="F159" s="26">
        <v>52</v>
      </c>
      <c r="G159" s="26">
        <v>47</v>
      </c>
      <c r="H159" s="26">
        <v>0</v>
      </c>
      <c r="I159" s="26">
        <v>0</v>
      </c>
      <c r="J159" s="26">
        <v>47</v>
      </c>
      <c r="K159" s="26">
        <v>47</v>
      </c>
      <c r="L159" s="26">
        <v>42</v>
      </c>
      <c r="M159" s="26">
        <v>42</v>
      </c>
      <c r="N159" s="97" t="s">
        <v>121</v>
      </c>
      <c r="O159" s="98"/>
    </row>
    <row r="160" spans="1:15" ht="18" customHeight="1" x14ac:dyDescent="0.25">
      <c r="A160" s="26" t="s">
        <v>426</v>
      </c>
      <c r="B160" s="27" t="s">
        <v>427</v>
      </c>
      <c r="C160" s="26" t="s">
        <v>62</v>
      </c>
      <c r="D160" s="26" t="s">
        <v>24</v>
      </c>
      <c r="E160" s="26" t="s">
        <v>428</v>
      </c>
      <c r="F160" s="26">
        <v>71</v>
      </c>
      <c r="G160" s="26">
        <v>66</v>
      </c>
      <c r="H160" s="26">
        <v>0</v>
      </c>
      <c r="I160" s="26">
        <v>3</v>
      </c>
      <c r="J160" s="26">
        <v>32</v>
      </c>
      <c r="K160" s="26">
        <v>32</v>
      </c>
      <c r="L160" s="26">
        <v>32</v>
      </c>
      <c r="M160" s="26">
        <v>32</v>
      </c>
      <c r="N160" s="97" t="s">
        <v>121</v>
      </c>
      <c r="O160" s="98"/>
    </row>
    <row r="161" spans="1:15" ht="18" customHeight="1" x14ac:dyDescent="0.25">
      <c r="A161" s="28" t="s">
        <v>429</v>
      </c>
      <c r="B161" s="29" t="s">
        <v>430</v>
      </c>
      <c r="C161" s="28" t="s">
        <v>62</v>
      </c>
      <c r="D161" s="28" t="s">
        <v>66</v>
      </c>
      <c r="E161" s="28" t="s">
        <v>431</v>
      </c>
      <c r="F161" s="28">
        <v>50</v>
      </c>
      <c r="G161" s="28">
        <v>35.090000000000003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99" t="s">
        <v>52</v>
      </c>
      <c r="O161" s="98"/>
    </row>
    <row r="162" spans="1:15" ht="18" customHeight="1" x14ac:dyDescent="0.25">
      <c r="A162" s="26" t="s">
        <v>432</v>
      </c>
      <c r="B162" s="27" t="s">
        <v>433</v>
      </c>
      <c r="C162" s="26" t="s">
        <v>62</v>
      </c>
      <c r="D162" s="26" t="s">
        <v>24</v>
      </c>
      <c r="E162" s="26" t="s">
        <v>434</v>
      </c>
      <c r="F162" s="26">
        <v>50</v>
      </c>
      <c r="G162" s="26">
        <v>45.49</v>
      </c>
      <c r="H162" s="26">
        <v>0</v>
      </c>
      <c r="I162" s="26">
        <v>0</v>
      </c>
      <c r="J162" s="26">
        <v>40</v>
      </c>
      <c r="K162" s="26">
        <v>40</v>
      </c>
      <c r="L162" s="26">
        <v>40</v>
      </c>
      <c r="M162" s="26">
        <v>40</v>
      </c>
      <c r="N162" s="97" t="s">
        <v>435</v>
      </c>
      <c r="O162" s="98"/>
    </row>
    <row r="163" spans="1:15" ht="18" customHeight="1" x14ac:dyDescent="0.25">
      <c r="A163" s="26" t="s">
        <v>436</v>
      </c>
      <c r="B163" s="27" t="s">
        <v>437</v>
      </c>
      <c r="C163" s="26" t="s">
        <v>142</v>
      </c>
      <c r="D163" s="26" t="s">
        <v>365</v>
      </c>
      <c r="E163" s="26" t="s">
        <v>165</v>
      </c>
      <c r="F163" s="26">
        <v>210</v>
      </c>
      <c r="G163" s="26">
        <v>214</v>
      </c>
      <c r="H163" s="26">
        <v>202</v>
      </c>
      <c r="I163" s="26">
        <v>206</v>
      </c>
      <c r="J163" s="26">
        <v>214</v>
      </c>
      <c r="K163" s="26">
        <v>214</v>
      </c>
      <c r="L163" s="26">
        <v>214</v>
      </c>
      <c r="M163" s="26">
        <v>214</v>
      </c>
      <c r="N163" s="97"/>
      <c r="O163" s="98"/>
    </row>
    <row r="164" spans="1:15" ht="18" customHeight="1" x14ac:dyDescent="0.25">
      <c r="A164" s="26" t="s">
        <v>438</v>
      </c>
      <c r="B164" s="27" t="s">
        <v>439</v>
      </c>
      <c r="C164" s="26" t="s">
        <v>142</v>
      </c>
      <c r="D164" s="26" t="s">
        <v>365</v>
      </c>
      <c r="E164" s="26" t="s">
        <v>165</v>
      </c>
      <c r="F164" s="26">
        <v>220</v>
      </c>
      <c r="G164" s="26">
        <v>220</v>
      </c>
      <c r="H164" s="26">
        <v>197</v>
      </c>
      <c r="I164" s="26">
        <v>200</v>
      </c>
      <c r="J164" s="26">
        <v>220</v>
      </c>
      <c r="K164" s="26">
        <v>220</v>
      </c>
      <c r="L164" s="26">
        <v>220</v>
      </c>
      <c r="M164" s="26">
        <v>220</v>
      </c>
      <c r="N164" s="97"/>
      <c r="O164" s="98"/>
    </row>
    <row r="165" spans="1:15" ht="18" customHeight="1" x14ac:dyDescent="0.25">
      <c r="A165" s="26" t="s">
        <v>440</v>
      </c>
      <c r="B165" s="27" t="s">
        <v>441</v>
      </c>
      <c r="C165" s="26" t="s">
        <v>142</v>
      </c>
      <c r="D165" s="26" t="s">
        <v>365</v>
      </c>
      <c r="E165" s="26" t="s">
        <v>442</v>
      </c>
      <c r="F165" s="26">
        <v>220</v>
      </c>
      <c r="G165" s="26">
        <v>220</v>
      </c>
      <c r="H165" s="26">
        <v>0</v>
      </c>
      <c r="I165" s="26">
        <v>0</v>
      </c>
      <c r="J165" s="26">
        <v>220</v>
      </c>
      <c r="K165" s="26">
        <v>220</v>
      </c>
      <c r="L165" s="26">
        <v>0</v>
      </c>
      <c r="M165" s="26">
        <v>0</v>
      </c>
      <c r="N165" s="97" t="s">
        <v>35</v>
      </c>
      <c r="O165" s="98"/>
    </row>
    <row r="166" spans="1:15" ht="18" customHeight="1" x14ac:dyDescent="0.25">
      <c r="A166" s="26" t="s">
        <v>443</v>
      </c>
      <c r="B166" s="27" t="s">
        <v>444</v>
      </c>
      <c r="C166" s="26" t="s">
        <v>142</v>
      </c>
      <c r="D166" s="26" t="s">
        <v>365</v>
      </c>
      <c r="E166" s="26" t="s">
        <v>445</v>
      </c>
      <c r="F166" s="26">
        <v>414</v>
      </c>
      <c r="G166" s="26">
        <v>413.79</v>
      </c>
      <c r="H166" s="26">
        <v>360</v>
      </c>
      <c r="I166" s="26">
        <v>370</v>
      </c>
      <c r="J166" s="26">
        <v>413.79</v>
      </c>
      <c r="K166" s="26">
        <v>413.79</v>
      </c>
      <c r="L166" s="26">
        <v>372</v>
      </c>
      <c r="M166" s="26">
        <v>372</v>
      </c>
      <c r="N166" s="97" t="s">
        <v>59</v>
      </c>
      <c r="O166" s="98"/>
    </row>
    <row r="167" spans="1:15" ht="18" customHeight="1" x14ac:dyDescent="0.25">
      <c r="A167" s="26" t="s">
        <v>446</v>
      </c>
      <c r="B167" s="27" t="s">
        <v>447</v>
      </c>
      <c r="C167" s="26" t="s">
        <v>62</v>
      </c>
      <c r="D167" s="26" t="s">
        <v>24</v>
      </c>
      <c r="E167" s="26" t="s">
        <v>434</v>
      </c>
      <c r="F167" s="26">
        <v>50</v>
      </c>
      <c r="G167" s="26">
        <v>46</v>
      </c>
      <c r="H167" s="26">
        <v>0</v>
      </c>
      <c r="I167" s="26">
        <v>0</v>
      </c>
      <c r="J167" s="26">
        <v>22</v>
      </c>
      <c r="K167" s="26">
        <v>22</v>
      </c>
      <c r="L167" s="26">
        <v>22</v>
      </c>
      <c r="M167" s="26">
        <v>22</v>
      </c>
      <c r="N167" s="97" t="s">
        <v>121</v>
      </c>
      <c r="O167" s="98"/>
    </row>
    <row r="168" spans="1:15" ht="18" customHeight="1" x14ac:dyDescent="0.25">
      <c r="A168" s="26" t="s">
        <v>448</v>
      </c>
      <c r="B168" s="27" t="s">
        <v>449</v>
      </c>
      <c r="C168" s="26" t="s">
        <v>23</v>
      </c>
      <c r="D168" s="26" t="s">
        <v>70</v>
      </c>
      <c r="E168" s="26" t="s">
        <v>261</v>
      </c>
      <c r="F168" s="26">
        <v>11</v>
      </c>
      <c r="G168" s="26">
        <v>11</v>
      </c>
      <c r="H168" s="26">
        <v>0</v>
      </c>
      <c r="I168" s="26">
        <v>0</v>
      </c>
      <c r="J168" s="26">
        <v>0</v>
      </c>
      <c r="K168" s="26">
        <v>0</v>
      </c>
      <c r="L168" s="26">
        <v>0</v>
      </c>
      <c r="M168" s="26">
        <v>0</v>
      </c>
      <c r="N168" s="97" t="s">
        <v>45</v>
      </c>
      <c r="O168" s="98"/>
    </row>
    <row r="169" spans="1:15" ht="18" customHeight="1" x14ac:dyDescent="0.25">
      <c r="A169" s="26" t="s">
        <v>450</v>
      </c>
      <c r="B169" s="27" t="s">
        <v>451</v>
      </c>
      <c r="C169" s="26" t="s">
        <v>62</v>
      </c>
      <c r="D169" s="26" t="s">
        <v>38</v>
      </c>
      <c r="E169" s="26" t="s">
        <v>252</v>
      </c>
      <c r="F169" s="26">
        <v>52</v>
      </c>
      <c r="G169" s="26">
        <v>52.2</v>
      </c>
      <c r="H169" s="26">
        <v>0</v>
      </c>
      <c r="I169" s="26">
        <v>0</v>
      </c>
      <c r="J169" s="26">
        <v>52.2</v>
      </c>
      <c r="K169" s="26">
        <v>52.2</v>
      </c>
      <c r="L169" s="26">
        <v>52.2</v>
      </c>
      <c r="M169" s="26">
        <v>52.2</v>
      </c>
      <c r="N169" s="97" t="s">
        <v>45</v>
      </c>
      <c r="O169" s="98"/>
    </row>
    <row r="170" spans="1:15" ht="18" customHeight="1" x14ac:dyDescent="0.25">
      <c r="A170" s="26" t="s">
        <v>452</v>
      </c>
      <c r="B170" s="27" t="s">
        <v>453</v>
      </c>
      <c r="C170" s="26" t="s">
        <v>62</v>
      </c>
      <c r="D170" s="26" t="s">
        <v>24</v>
      </c>
      <c r="E170" s="26" t="s">
        <v>84</v>
      </c>
      <c r="F170" s="26">
        <v>104</v>
      </c>
      <c r="G170" s="26">
        <v>104</v>
      </c>
      <c r="H170" s="26">
        <v>0</v>
      </c>
      <c r="I170" s="26">
        <v>0</v>
      </c>
      <c r="J170" s="26">
        <v>92</v>
      </c>
      <c r="K170" s="26">
        <v>92</v>
      </c>
      <c r="L170" s="26">
        <v>100</v>
      </c>
      <c r="M170" s="26">
        <v>100</v>
      </c>
      <c r="N170" s="97" t="s">
        <v>45</v>
      </c>
      <c r="O170" s="98"/>
    </row>
    <row r="171" spans="1:15" ht="18" customHeight="1" x14ac:dyDescent="0.25">
      <c r="A171" s="26" t="s">
        <v>454</v>
      </c>
      <c r="B171" s="27" t="s">
        <v>455</v>
      </c>
      <c r="C171" s="26" t="s">
        <v>62</v>
      </c>
      <c r="D171" s="26" t="s">
        <v>38</v>
      </c>
      <c r="E171" s="26" t="s">
        <v>456</v>
      </c>
      <c r="F171" s="26">
        <v>113</v>
      </c>
      <c r="G171" s="26">
        <v>113</v>
      </c>
      <c r="H171" s="26">
        <v>3</v>
      </c>
      <c r="I171" s="26">
        <v>0</v>
      </c>
      <c r="J171" s="26">
        <v>113</v>
      </c>
      <c r="K171" s="26">
        <v>113</v>
      </c>
      <c r="L171" s="26">
        <v>113</v>
      </c>
      <c r="M171" s="26">
        <v>113</v>
      </c>
      <c r="N171" s="97" t="s">
        <v>45</v>
      </c>
      <c r="O171" s="98"/>
    </row>
    <row r="172" spans="1:15" ht="18" customHeight="1" x14ac:dyDescent="0.25">
      <c r="A172" s="26" t="s">
        <v>457</v>
      </c>
      <c r="B172" s="27" t="s">
        <v>458</v>
      </c>
      <c r="C172" s="26" t="s">
        <v>62</v>
      </c>
      <c r="D172" s="26" t="s">
        <v>38</v>
      </c>
      <c r="E172" s="26" t="s">
        <v>459</v>
      </c>
      <c r="F172" s="26">
        <v>113</v>
      </c>
      <c r="G172" s="26">
        <v>113</v>
      </c>
      <c r="H172" s="26">
        <v>0</v>
      </c>
      <c r="I172" s="26">
        <v>0</v>
      </c>
      <c r="J172" s="26">
        <v>113</v>
      </c>
      <c r="K172" s="26">
        <v>113</v>
      </c>
      <c r="L172" s="26">
        <v>113</v>
      </c>
      <c r="M172" s="26">
        <v>113</v>
      </c>
      <c r="N172" s="97" t="s">
        <v>45</v>
      </c>
      <c r="O172" s="98"/>
    </row>
    <row r="173" spans="1:15" ht="18" customHeight="1" x14ac:dyDescent="0.25">
      <c r="A173" s="26" t="s">
        <v>460</v>
      </c>
      <c r="B173" s="27" t="s">
        <v>461</v>
      </c>
      <c r="C173" s="26" t="s">
        <v>134</v>
      </c>
      <c r="D173" s="26" t="s">
        <v>365</v>
      </c>
      <c r="E173" s="26"/>
      <c r="F173" s="26">
        <v>6</v>
      </c>
      <c r="G173" s="26">
        <v>6.09</v>
      </c>
      <c r="H173" s="26">
        <v>4.42</v>
      </c>
      <c r="I173" s="26">
        <v>0</v>
      </c>
      <c r="J173" s="26">
        <v>5</v>
      </c>
      <c r="K173" s="26">
        <v>0</v>
      </c>
      <c r="L173" s="26">
        <v>5</v>
      </c>
      <c r="M173" s="26">
        <v>0</v>
      </c>
      <c r="N173" s="97" t="s">
        <v>45</v>
      </c>
      <c r="O173" s="98"/>
    </row>
    <row r="174" spans="1:15" ht="18" customHeight="1" x14ac:dyDescent="0.25">
      <c r="A174" s="26" t="s">
        <v>356</v>
      </c>
      <c r="B174" s="27" t="s">
        <v>462</v>
      </c>
      <c r="C174" s="26" t="s">
        <v>263</v>
      </c>
      <c r="D174" s="26" t="s">
        <v>263</v>
      </c>
      <c r="E174" s="26" t="s">
        <v>463</v>
      </c>
      <c r="F174" s="26">
        <v>1496</v>
      </c>
      <c r="G174" s="26">
        <v>1435.88</v>
      </c>
      <c r="H174" s="26">
        <v>1362.57</v>
      </c>
      <c r="I174" s="26">
        <v>1449</v>
      </c>
      <c r="J174" s="26">
        <v>1435.88</v>
      </c>
      <c r="K174" s="26">
        <v>1435.88</v>
      </c>
      <c r="L174" s="26">
        <v>1435.88</v>
      </c>
      <c r="M174" s="26">
        <v>1435.88</v>
      </c>
      <c r="N174" s="97" t="s">
        <v>45</v>
      </c>
      <c r="O174" s="98"/>
    </row>
    <row r="175" spans="1:15" ht="18" customHeight="1" x14ac:dyDescent="0.25">
      <c r="A175" s="26" t="s">
        <v>464</v>
      </c>
      <c r="B175" s="27" t="s">
        <v>465</v>
      </c>
      <c r="C175" s="26" t="s">
        <v>134</v>
      </c>
      <c r="D175" s="26" t="s">
        <v>38</v>
      </c>
      <c r="E175" s="26"/>
      <c r="F175" s="26">
        <v>68</v>
      </c>
      <c r="G175" s="26">
        <v>68</v>
      </c>
      <c r="H175" s="26">
        <v>50.74</v>
      </c>
      <c r="I175" s="26">
        <v>0</v>
      </c>
      <c r="J175" s="26">
        <v>61</v>
      </c>
      <c r="K175" s="26">
        <v>0</v>
      </c>
      <c r="L175" s="26">
        <v>61</v>
      </c>
      <c r="M175" s="26">
        <v>0</v>
      </c>
      <c r="N175" s="97" t="s">
        <v>45</v>
      </c>
      <c r="O175" s="98"/>
    </row>
    <row r="176" spans="1:15" ht="18" customHeight="1" x14ac:dyDescent="0.25">
      <c r="A176" s="26"/>
      <c r="B176" s="27" t="s">
        <v>466</v>
      </c>
      <c r="C176" s="26" t="s">
        <v>134</v>
      </c>
      <c r="D176" s="26" t="s">
        <v>38</v>
      </c>
      <c r="E176" s="26"/>
      <c r="F176" s="26">
        <v>0</v>
      </c>
      <c r="G176" s="26">
        <v>100</v>
      </c>
      <c r="H176" s="26">
        <v>102</v>
      </c>
      <c r="I176" s="26">
        <v>0</v>
      </c>
      <c r="J176" s="26">
        <v>100</v>
      </c>
      <c r="K176" s="26">
        <v>0</v>
      </c>
      <c r="L176" s="26">
        <v>100</v>
      </c>
      <c r="M176" s="26">
        <v>0</v>
      </c>
      <c r="N176" s="97" t="s">
        <v>45</v>
      </c>
      <c r="O176" s="98"/>
    </row>
    <row r="177" spans="1:15" ht="18" customHeight="1" x14ac:dyDescent="0.25">
      <c r="A177" s="100" t="s">
        <v>467</v>
      </c>
      <c r="B177" s="98"/>
      <c r="C177" s="98"/>
      <c r="D177" s="98"/>
      <c r="E177" s="98"/>
      <c r="F177" s="30">
        <v>3471</v>
      </c>
      <c r="G177" s="30">
        <v>3481.54</v>
      </c>
      <c r="H177" s="30">
        <v>2281.73</v>
      </c>
      <c r="I177" s="30">
        <v>2228</v>
      </c>
      <c r="J177" s="30">
        <v>3180.87</v>
      </c>
      <c r="K177" s="30">
        <v>3014.87</v>
      </c>
      <c r="L177" s="30">
        <v>2922.08</v>
      </c>
      <c r="M177" s="30">
        <v>2756.08</v>
      </c>
      <c r="N177" s="100"/>
      <c r="O177" s="98"/>
    </row>
    <row r="178" spans="1:15" ht="18" customHeight="1" x14ac:dyDescent="0.25">
      <c r="A178" s="26" t="s">
        <v>468</v>
      </c>
      <c r="B178" s="27" t="s">
        <v>469</v>
      </c>
      <c r="C178" s="26" t="s">
        <v>209</v>
      </c>
      <c r="D178" s="26" t="s">
        <v>24</v>
      </c>
      <c r="E178" s="26" t="s">
        <v>470</v>
      </c>
      <c r="F178" s="26">
        <v>250</v>
      </c>
      <c r="G178" s="26">
        <v>170</v>
      </c>
      <c r="H178" s="26">
        <v>50</v>
      </c>
      <c r="I178" s="26">
        <v>51</v>
      </c>
      <c r="J178" s="26">
        <v>50</v>
      </c>
      <c r="K178" s="26">
        <v>50</v>
      </c>
      <c r="L178" s="26">
        <v>50</v>
      </c>
      <c r="M178" s="26">
        <v>50</v>
      </c>
      <c r="N178" s="97" t="s">
        <v>471</v>
      </c>
      <c r="O178" s="98"/>
    </row>
    <row r="179" spans="1:15" ht="18" customHeight="1" x14ac:dyDescent="0.25">
      <c r="A179" s="26" t="s">
        <v>472</v>
      </c>
      <c r="B179" s="27" t="s">
        <v>473</v>
      </c>
      <c r="C179" s="26" t="s">
        <v>209</v>
      </c>
      <c r="D179" s="26" t="s">
        <v>24</v>
      </c>
      <c r="E179" s="26" t="s">
        <v>474</v>
      </c>
      <c r="F179" s="26">
        <v>274</v>
      </c>
      <c r="G179" s="26">
        <v>274</v>
      </c>
      <c r="H179" s="26">
        <v>164</v>
      </c>
      <c r="I179" s="26">
        <v>165</v>
      </c>
      <c r="J179" s="26">
        <v>160</v>
      </c>
      <c r="K179" s="26">
        <v>160</v>
      </c>
      <c r="L179" s="26">
        <v>160</v>
      </c>
      <c r="M179" s="26">
        <v>160</v>
      </c>
      <c r="N179" s="97" t="s">
        <v>231</v>
      </c>
      <c r="O179" s="98"/>
    </row>
    <row r="180" spans="1:15" ht="18" customHeight="1" x14ac:dyDescent="0.25">
      <c r="A180" s="26" t="s">
        <v>475</v>
      </c>
      <c r="B180" s="27" t="s">
        <v>476</v>
      </c>
      <c r="C180" s="26" t="s">
        <v>354</v>
      </c>
      <c r="D180" s="26" t="s">
        <v>24</v>
      </c>
      <c r="E180" s="26" t="s">
        <v>337</v>
      </c>
      <c r="F180" s="26">
        <v>20</v>
      </c>
      <c r="G180" s="26">
        <v>20</v>
      </c>
      <c r="H180" s="26">
        <v>0</v>
      </c>
      <c r="I180" s="26">
        <v>0</v>
      </c>
      <c r="J180" s="26">
        <v>20</v>
      </c>
      <c r="K180" s="26">
        <v>20</v>
      </c>
      <c r="L180" s="26">
        <v>20</v>
      </c>
      <c r="M180" s="26">
        <v>20</v>
      </c>
      <c r="N180" s="97" t="s">
        <v>45</v>
      </c>
      <c r="O180" s="98"/>
    </row>
    <row r="181" spans="1:15" ht="18" customHeight="1" x14ac:dyDescent="0.25">
      <c r="A181" s="26" t="s">
        <v>477</v>
      </c>
      <c r="B181" s="27" t="s">
        <v>478</v>
      </c>
      <c r="C181" s="26" t="s">
        <v>354</v>
      </c>
      <c r="D181" s="26" t="s">
        <v>24</v>
      </c>
      <c r="E181" s="26" t="s">
        <v>337</v>
      </c>
      <c r="F181" s="26">
        <v>20</v>
      </c>
      <c r="G181" s="26">
        <v>20</v>
      </c>
      <c r="H181" s="26">
        <v>0</v>
      </c>
      <c r="I181" s="26">
        <v>0</v>
      </c>
      <c r="J181" s="26">
        <v>14</v>
      </c>
      <c r="K181" s="26">
        <v>14</v>
      </c>
      <c r="L181" s="26">
        <v>14</v>
      </c>
      <c r="M181" s="26">
        <v>14</v>
      </c>
      <c r="N181" s="97" t="s">
        <v>45</v>
      </c>
      <c r="O181" s="98"/>
    </row>
    <row r="182" spans="1:15" ht="18" customHeight="1" x14ac:dyDescent="0.25">
      <c r="A182" s="26" t="s">
        <v>479</v>
      </c>
      <c r="B182" s="27" t="s">
        <v>480</v>
      </c>
      <c r="C182" s="26" t="s">
        <v>62</v>
      </c>
      <c r="D182" s="26" t="s">
        <v>38</v>
      </c>
      <c r="E182" s="26" t="s">
        <v>481</v>
      </c>
      <c r="F182" s="26">
        <v>113</v>
      </c>
      <c r="G182" s="26">
        <v>113</v>
      </c>
      <c r="H182" s="26">
        <v>34</v>
      </c>
      <c r="I182" s="26">
        <v>70</v>
      </c>
      <c r="J182" s="26">
        <v>113</v>
      </c>
      <c r="K182" s="26">
        <v>113</v>
      </c>
      <c r="L182" s="26">
        <v>113</v>
      </c>
      <c r="M182" s="26">
        <v>113</v>
      </c>
      <c r="N182" s="97" t="s">
        <v>45</v>
      </c>
      <c r="O182" s="98"/>
    </row>
    <row r="183" spans="1:15" ht="18" customHeight="1" x14ac:dyDescent="0.25">
      <c r="A183" s="26" t="s">
        <v>482</v>
      </c>
      <c r="B183" s="27" t="s">
        <v>483</v>
      </c>
      <c r="C183" s="26" t="s">
        <v>134</v>
      </c>
      <c r="D183" s="26" t="s">
        <v>38</v>
      </c>
      <c r="E183" s="26"/>
      <c r="F183" s="26">
        <v>8</v>
      </c>
      <c r="G183" s="26">
        <v>8</v>
      </c>
      <c r="H183" s="26">
        <v>7.5</v>
      </c>
      <c r="I183" s="26">
        <v>0</v>
      </c>
      <c r="J183" s="26">
        <v>6.6</v>
      </c>
      <c r="K183" s="26">
        <v>0</v>
      </c>
      <c r="L183" s="26">
        <v>6.6</v>
      </c>
      <c r="M183" s="26">
        <v>0</v>
      </c>
      <c r="N183" s="97" t="s">
        <v>45</v>
      </c>
      <c r="O183" s="98"/>
    </row>
    <row r="184" spans="1:15" ht="18" customHeight="1" x14ac:dyDescent="0.25">
      <c r="A184" s="26" t="s">
        <v>484</v>
      </c>
      <c r="B184" s="27" t="s">
        <v>485</v>
      </c>
      <c r="C184" s="26" t="s">
        <v>62</v>
      </c>
      <c r="D184" s="26" t="s">
        <v>38</v>
      </c>
      <c r="E184" s="26"/>
      <c r="F184" s="26">
        <v>115</v>
      </c>
      <c r="G184" s="26">
        <v>115</v>
      </c>
      <c r="H184" s="26">
        <v>35</v>
      </c>
      <c r="I184" s="26">
        <v>0</v>
      </c>
      <c r="J184" s="26">
        <v>115</v>
      </c>
      <c r="K184" s="26">
        <v>115</v>
      </c>
      <c r="L184" s="26">
        <v>115</v>
      </c>
      <c r="M184" s="26">
        <v>115</v>
      </c>
      <c r="N184" s="97" t="s">
        <v>45</v>
      </c>
      <c r="O184" s="98"/>
    </row>
    <row r="185" spans="1:15" ht="18" customHeight="1" x14ac:dyDescent="0.25">
      <c r="A185" s="26" t="s">
        <v>486</v>
      </c>
      <c r="B185" s="27" t="s">
        <v>487</v>
      </c>
      <c r="C185" s="26" t="s">
        <v>134</v>
      </c>
      <c r="D185" s="26" t="s">
        <v>38</v>
      </c>
      <c r="E185" s="26" t="s">
        <v>488</v>
      </c>
      <c r="F185" s="26">
        <v>30</v>
      </c>
      <c r="G185" s="26">
        <v>30</v>
      </c>
      <c r="H185" s="26">
        <v>32</v>
      </c>
      <c r="I185" s="26">
        <v>0</v>
      </c>
      <c r="J185" s="26">
        <v>30</v>
      </c>
      <c r="K185" s="26">
        <v>0</v>
      </c>
      <c r="L185" s="26">
        <v>30</v>
      </c>
      <c r="M185" s="26">
        <v>0</v>
      </c>
      <c r="N185" s="97" t="s">
        <v>45</v>
      </c>
      <c r="O185" s="98"/>
    </row>
    <row r="186" spans="1:15" ht="18" customHeight="1" x14ac:dyDescent="0.25">
      <c r="A186" s="26" t="s">
        <v>489</v>
      </c>
      <c r="B186" s="27" t="s">
        <v>490</v>
      </c>
      <c r="C186" s="26" t="s">
        <v>134</v>
      </c>
      <c r="D186" s="26" t="s">
        <v>404</v>
      </c>
      <c r="E186" s="26"/>
      <c r="F186" s="26">
        <v>200</v>
      </c>
      <c r="G186" s="26">
        <v>200</v>
      </c>
      <c r="H186" s="26">
        <v>188</v>
      </c>
      <c r="I186" s="26">
        <v>0</v>
      </c>
      <c r="J186" s="26">
        <v>178.95</v>
      </c>
      <c r="K186" s="26">
        <v>0</v>
      </c>
      <c r="L186" s="26">
        <v>178.95</v>
      </c>
      <c r="M186" s="26">
        <v>0</v>
      </c>
      <c r="N186" s="97" t="s">
        <v>45</v>
      </c>
      <c r="O186" s="98"/>
    </row>
    <row r="187" spans="1:15" ht="18" customHeight="1" x14ac:dyDescent="0.25">
      <c r="A187" s="100" t="s">
        <v>491</v>
      </c>
      <c r="B187" s="98"/>
      <c r="C187" s="98"/>
      <c r="D187" s="98"/>
      <c r="E187" s="98"/>
      <c r="F187" s="30">
        <v>1030</v>
      </c>
      <c r="G187" s="30">
        <v>950</v>
      </c>
      <c r="H187" s="30">
        <v>510.5</v>
      </c>
      <c r="I187" s="30">
        <v>286</v>
      </c>
      <c r="J187" s="30">
        <v>687.55</v>
      </c>
      <c r="K187" s="30">
        <v>472</v>
      </c>
      <c r="L187" s="30">
        <v>687.55</v>
      </c>
      <c r="M187" s="30">
        <v>472</v>
      </c>
      <c r="N187" s="100"/>
      <c r="O187" s="98"/>
    </row>
    <row r="188" spans="1:15" ht="18" customHeight="1" x14ac:dyDescent="0.25">
      <c r="A188" s="100" t="s">
        <v>492</v>
      </c>
      <c r="B188" s="98"/>
      <c r="C188" s="98"/>
      <c r="D188" s="98"/>
      <c r="E188" s="98"/>
      <c r="F188" s="30">
        <v>27566.2</v>
      </c>
      <c r="G188" s="30">
        <v>28624.081999999999</v>
      </c>
      <c r="H188" s="30">
        <v>14736.73</v>
      </c>
      <c r="I188" s="30">
        <v>15044.5</v>
      </c>
      <c r="J188" s="30">
        <v>21936.55</v>
      </c>
      <c r="K188" s="30">
        <v>21403.49</v>
      </c>
      <c r="L188" s="30">
        <v>20059.310000000001</v>
      </c>
      <c r="M188" s="30">
        <v>19651.25</v>
      </c>
      <c r="N188" s="100"/>
      <c r="O188" s="98"/>
    </row>
    <row r="189" spans="1:15" ht="18" customHeight="1" x14ac:dyDescent="0.25"/>
    <row r="190" spans="1:15" ht="18" customHeight="1" x14ac:dyDescent="0.25"/>
    <row r="191" spans="1:15" ht="18" customHeight="1" x14ac:dyDescent="0.25"/>
    <row r="192" spans="1:15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thickBot="1" x14ac:dyDescent="0.3"/>
    <row r="209" spans="1:14" s="13" customFormat="1" ht="24.95" customHeight="1" thickBot="1" x14ac:dyDescent="0.4">
      <c r="A209" s="15"/>
      <c r="B209" s="15"/>
      <c r="C209" s="15"/>
      <c r="D209" s="16"/>
      <c r="E209" s="84" t="s">
        <v>493</v>
      </c>
      <c r="F209" s="85"/>
      <c r="G209" s="85"/>
      <c r="H209" s="85"/>
      <c r="I209" s="85"/>
      <c r="J209" s="85"/>
      <c r="K209" s="86"/>
      <c r="L209" s="17"/>
      <c r="M209" s="15"/>
      <c r="N209" s="15"/>
    </row>
    <row r="210" spans="1:14" ht="24.95" customHeight="1" thickBot="1" x14ac:dyDescent="0.3">
      <c r="E210" s="23" t="s">
        <v>494</v>
      </c>
      <c r="F210" s="87" t="s">
        <v>495</v>
      </c>
      <c r="G210" s="80"/>
      <c r="H210" s="87" t="s">
        <v>496</v>
      </c>
      <c r="I210" s="80"/>
      <c r="J210" s="83" t="s">
        <v>497</v>
      </c>
      <c r="K210" s="80"/>
    </row>
    <row r="211" spans="1:14" ht="24.95" customHeight="1" thickBot="1" x14ac:dyDescent="0.4">
      <c r="E211" s="20">
        <v>0</v>
      </c>
      <c r="F211" s="60">
        <v>15320</v>
      </c>
      <c r="G211" s="61"/>
      <c r="H211" s="60">
        <v>0</v>
      </c>
      <c r="I211" s="61"/>
      <c r="J211" s="60">
        <v>15320</v>
      </c>
      <c r="K211" s="61"/>
    </row>
    <row r="212" spans="1:14" ht="24.95" customHeight="1" thickBot="1" x14ac:dyDescent="0.4">
      <c r="E212" s="20">
        <v>4.1666666666666657E-2</v>
      </c>
      <c r="F212" s="60">
        <v>14750</v>
      </c>
      <c r="G212" s="61"/>
      <c r="H212" s="60">
        <v>0</v>
      </c>
      <c r="I212" s="61"/>
      <c r="J212" s="60">
        <v>14750</v>
      </c>
      <c r="K212" s="61"/>
    </row>
    <row r="213" spans="1:14" ht="24.95" customHeight="1" thickBot="1" x14ac:dyDescent="0.4">
      <c r="E213" s="20">
        <v>8.3333333333333329E-2</v>
      </c>
      <c r="F213" s="60">
        <v>14200</v>
      </c>
      <c r="G213" s="61"/>
      <c r="H213" s="60">
        <v>0</v>
      </c>
      <c r="I213" s="61"/>
      <c r="J213" s="60">
        <v>14200</v>
      </c>
      <c r="K213" s="61"/>
    </row>
    <row r="214" spans="1:14" ht="24.95" customHeight="1" thickBot="1" x14ac:dyDescent="0.4">
      <c r="B214" s="14"/>
      <c r="E214" s="20">
        <v>0.125</v>
      </c>
      <c r="F214" s="60">
        <v>13590</v>
      </c>
      <c r="G214" s="61"/>
      <c r="H214" s="60">
        <v>0</v>
      </c>
      <c r="I214" s="61"/>
      <c r="J214" s="60">
        <v>13590</v>
      </c>
      <c r="K214" s="61"/>
    </row>
    <row r="215" spans="1:14" ht="24.95" customHeight="1" thickBot="1" x14ac:dyDescent="0.4">
      <c r="E215" s="20">
        <v>0.16666666666666671</v>
      </c>
      <c r="F215" s="60">
        <v>13200</v>
      </c>
      <c r="G215" s="61"/>
      <c r="H215" s="60">
        <v>0</v>
      </c>
      <c r="I215" s="61"/>
      <c r="J215" s="60">
        <v>13200</v>
      </c>
      <c r="K215" s="61"/>
    </row>
    <row r="216" spans="1:14" ht="24.95" customHeight="1" thickBot="1" x14ac:dyDescent="0.4">
      <c r="E216" s="20">
        <v>0.20833333333333329</v>
      </c>
      <c r="F216" s="60">
        <v>12990</v>
      </c>
      <c r="G216" s="61"/>
      <c r="H216" s="60">
        <v>0</v>
      </c>
      <c r="I216" s="61"/>
      <c r="J216" s="60">
        <v>12990</v>
      </c>
      <c r="K216" s="61"/>
    </row>
    <row r="217" spans="1:14" ht="24.95" customHeight="1" thickBot="1" x14ac:dyDescent="0.4">
      <c r="E217" s="20">
        <v>0.25</v>
      </c>
      <c r="F217" s="60">
        <v>12470</v>
      </c>
      <c r="G217" s="61"/>
      <c r="H217" s="60">
        <v>0</v>
      </c>
      <c r="I217" s="61"/>
      <c r="J217" s="60">
        <v>12470</v>
      </c>
      <c r="K217" s="61"/>
    </row>
    <row r="218" spans="1:14" ht="24.95" customHeight="1" thickBot="1" x14ac:dyDescent="0.4">
      <c r="E218" s="20">
        <v>0.29166666666666669</v>
      </c>
      <c r="F218" s="60">
        <v>12490</v>
      </c>
      <c r="G218" s="61"/>
      <c r="H218" s="60">
        <v>0</v>
      </c>
      <c r="I218" s="61"/>
      <c r="J218" s="60">
        <v>12490</v>
      </c>
      <c r="K218" s="61"/>
    </row>
    <row r="219" spans="1:14" ht="24.95" customHeight="1" thickBot="1" x14ac:dyDescent="0.4">
      <c r="E219" s="20">
        <v>0.33333333333333331</v>
      </c>
      <c r="F219" s="60">
        <v>12340</v>
      </c>
      <c r="G219" s="61"/>
      <c r="H219" s="60">
        <v>0</v>
      </c>
      <c r="I219" s="61"/>
      <c r="J219" s="60">
        <v>12340</v>
      </c>
      <c r="K219" s="61"/>
    </row>
    <row r="220" spans="1:14" ht="24.95" customHeight="1" thickBot="1" x14ac:dyDescent="0.4">
      <c r="E220" s="20">
        <v>0.375</v>
      </c>
      <c r="F220" s="60">
        <v>12760</v>
      </c>
      <c r="G220" s="61"/>
      <c r="H220" s="60">
        <v>0</v>
      </c>
      <c r="I220" s="61"/>
      <c r="J220" s="60">
        <v>12760</v>
      </c>
      <c r="K220" s="61"/>
    </row>
    <row r="221" spans="1:14" ht="24.95" customHeight="1" thickBot="1" x14ac:dyDescent="0.4">
      <c r="E221" s="20">
        <v>0.41666666666666669</v>
      </c>
      <c r="F221" s="60">
        <v>13270</v>
      </c>
      <c r="G221" s="61"/>
      <c r="H221" s="60">
        <v>0</v>
      </c>
      <c r="I221" s="61"/>
      <c r="J221" s="60">
        <v>13270</v>
      </c>
      <c r="K221" s="61"/>
    </row>
    <row r="222" spans="1:14" ht="24.95" customHeight="1" thickBot="1" x14ac:dyDescent="0.4">
      <c r="E222" s="20">
        <v>0.45833333333333331</v>
      </c>
      <c r="F222" s="60">
        <v>13820</v>
      </c>
      <c r="G222" s="61"/>
      <c r="H222" s="60">
        <v>0</v>
      </c>
      <c r="I222" s="61"/>
      <c r="J222" s="60">
        <v>13820</v>
      </c>
      <c r="K222" s="61"/>
    </row>
    <row r="223" spans="1:14" ht="24.95" customHeight="1" thickBot="1" x14ac:dyDescent="0.4">
      <c r="E223" s="20">
        <v>0.5</v>
      </c>
      <c r="F223" s="60">
        <v>14390</v>
      </c>
      <c r="G223" s="61"/>
      <c r="H223" s="60">
        <v>0</v>
      </c>
      <c r="I223" s="61"/>
      <c r="J223" s="60">
        <v>14390</v>
      </c>
      <c r="K223" s="61"/>
    </row>
    <row r="224" spans="1:14" ht="24.95" customHeight="1" thickBot="1" x14ac:dyDescent="0.4">
      <c r="E224" s="20">
        <v>0.54166666666666663</v>
      </c>
      <c r="F224" s="60">
        <v>14680</v>
      </c>
      <c r="G224" s="61"/>
      <c r="H224" s="60">
        <v>0</v>
      </c>
      <c r="I224" s="61"/>
      <c r="J224" s="60">
        <v>14680</v>
      </c>
      <c r="K224" s="61"/>
    </row>
    <row r="225" spans="1:15" ht="24.95" customHeight="1" thickBot="1" x14ac:dyDescent="0.4">
      <c r="E225" s="20">
        <v>0.58333333333333337</v>
      </c>
      <c r="F225" s="60">
        <v>14710</v>
      </c>
      <c r="G225" s="61"/>
      <c r="H225" s="60">
        <v>0</v>
      </c>
      <c r="I225" s="61"/>
      <c r="J225" s="60">
        <v>14710</v>
      </c>
      <c r="K225" s="61"/>
    </row>
    <row r="226" spans="1:15" ht="24.95" customHeight="1" thickBot="1" x14ac:dyDescent="0.4">
      <c r="E226" s="20">
        <v>0.625</v>
      </c>
      <c r="F226" s="60">
        <v>14720</v>
      </c>
      <c r="G226" s="61"/>
      <c r="H226" s="60">
        <v>0</v>
      </c>
      <c r="I226" s="61"/>
      <c r="J226" s="60">
        <v>14720</v>
      </c>
      <c r="K226" s="61"/>
    </row>
    <row r="227" spans="1:15" ht="24.95" customHeight="1" thickBot="1" x14ac:dyDescent="0.4">
      <c r="E227" s="20">
        <v>0.66666666666666663</v>
      </c>
      <c r="F227" s="60">
        <v>14480</v>
      </c>
      <c r="G227" s="61"/>
      <c r="H227" s="60">
        <v>0</v>
      </c>
      <c r="I227" s="61"/>
      <c r="J227" s="60">
        <v>14480</v>
      </c>
      <c r="K227" s="61"/>
    </row>
    <row r="228" spans="1:15" ht="24.95" customHeight="1" thickBot="1" x14ac:dyDescent="0.4">
      <c r="E228" s="20">
        <v>0.70833333333333337</v>
      </c>
      <c r="F228" s="60">
        <v>14170</v>
      </c>
      <c r="G228" s="61"/>
      <c r="H228" s="60">
        <v>0</v>
      </c>
      <c r="I228" s="61"/>
      <c r="J228" s="60">
        <v>14170</v>
      </c>
      <c r="K228" s="61"/>
    </row>
    <row r="229" spans="1:15" ht="24.95" customHeight="1" thickBot="1" x14ac:dyDescent="0.4">
      <c r="E229" s="20">
        <v>0.75</v>
      </c>
      <c r="F229" s="60">
        <v>13720</v>
      </c>
      <c r="G229" s="61"/>
      <c r="H229" s="60">
        <v>0</v>
      </c>
      <c r="I229" s="61"/>
      <c r="J229" s="60">
        <v>13720</v>
      </c>
      <c r="K229" s="61"/>
    </row>
    <row r="230" spans="1:15" ht="24.95" customHeight="1" thickBot="1" x14ac:dyDescent="0.4">
      <c r="E230" s="20">
        <v>0.77083333333333337</v>
      </c>
      <c r="F230" s="60">
        <v>14500</v>
      </c>
      <c r="G230" s="61"/>
      <c r="H230" s="60">
        <v>0</v>
      </c>
      <c r="I230" s="61"/>
      <c r="J230" s="60">
        <v>14500</v>
      </c>
      <c r="K230" s="61"/>
    </row>
    <row r="231" spans="1:15" ht="24.95" customHeight="1" thickBot="1" x14ac:dyDescent="0.4">
      <c r="E231" s="20">
        <v>0.79166666666666663</v>
      </c>
      <c r="F231" s="60">
        <v>15260</v>
      </c>
      <c r="G231" s="61"/>
      <c r="H231" s="60">
        <v>0</v>
      </c>
      <c r="I231" s="61"/>
      <c r="J231" s="60">
        <v>15260</v>
      </c>
      <c r="K231" s="61"/>
    </row>
    <row r="232" spans="1:15" ht="24.95" customHeight="1" thickBot="1" x14ac:dyDescent="0.4">
      <c r="E232" s="20">
        <v>0.8125</v>
      </c>
      <c r="F232" s="60">
        <v>15500</v>
      </c>
      <c r="G232" s="61"/>
      <c r="H232" s="60">
        <v>0</v>
      </c>
      <c r="I232" s="61"/>
      <c r="J232" s="60">
        <v>15500</v>
      </c>
      <c r="K232" s="61"/>
    </row>
    <row r="233" spans="1:15" ht="24.95" customHeight="1" thickBot="1" x14ac:dyDescent="0.4">
      <c r="E233" s="20">
        <v>0.83333333333333337</v>
      </c>
      <c r="F233" s="60">
        <v>15500</v>
      </c>
      <c r="G233" s="61"/>
      <c r="H233" s="60">
        <v>0</v>
      </c>
      <c r="I233" s="61"/>
      <c r="J233" s="60">
        <v>15500</v>
      </c>
      <c r="K233" s="61"/>
    </row>
    <row r="234" spans="1:15" ht="24.95" customHeight="1" thickBot="1" x14ac:dyDescent="0.4">
      <c r="E234" s="20">
        <v>0.875</v>
      </c>
      <c r="F234" s="60">
        <v>15670</v>
      </c>
      <c r="G234" s="61"/>
      <c r="H234" s="60">
        <v>0</v>
      </c>
      <c r="I234" s="61"/>
      <c r="J234" s="60">
        <v>15670</v>
      </c>
      <c r="K234" s="61"/>
    </row>
    <row r="235" spans="1:15" ht="24.95" customHeight="1" thickBot="1" x14ac:dyDescent="0.4">
      <c r="E235" s="20">
        <v>0.91666666666666663</v>
      </c>
      <c r="F235" s="60">
        <v>15650</v>
      </c>
      <c r="G235" s="61"/>
      <c r="H235" s="60">
        <v>0</v>
      </c>
      <c r="I235" s="61"/>
      <c r="J235" s="60">
        <v>15650</v>
      </c>
      <c r="K235" s="61"/>
    </row>
    <row r="236" spans="1:15" ht="24.95" customHeight="1" thickBot="1" x14ac:dyDescent="0.4">
      <c r="E236" s="20">
        <v>0.95833333333333337</v>
      </c>
      <c r="F236" s="60">
        <v>15550</v>
      </c>
      <c r="G236" s="61"/>
      <c r="H236" s="60">
        <v>0</v>
      </c>
      <c r="I236" s="61"/>
      <c r="J236" s="60">
        <v>15550</v>
      </c>
      <c r="K236" s="61"/>
    </row>
    <row r="237" spans="1:15" ht="39.950000000000003" customHeight="1" thickBot="1" x14ac:dyDescent="0.3"/>
    <row r="238" spans="1:15" ht="24.95" customHeight="1" thickBot="1" x14ac:dyDescent="0.3">
      <c r="A238" s="89" t="s">
        <v>498</v>
      </c>
      <c r="B238" s="85"/>
      <c r="C238" s="61"/>
      <c r="D238" s="90" t="s">
        <v>499</v>
      </c>
      <c r="E238" s="61"/>
      <c r="F238" s="91"/>
      <c r="G238" s="85"/>
      <c r="H238" s="85"/>
      <c r="I238" s="85"/>
      <c r="J238" s="85"/>
      <c r="K238" s="85"/>
      <c r="L238" s="85"/>
      <c r="M238" s="85"/>
      <c r="N238" s="85"/>
      <c r="O238" s="61"/>
    </row>
    <row r="239" spans="1:15" ht="24.95" customHeight="1" thickBot="1" x14ac:dyDescent="0.3">
      <c r="A239" s="92" t="s">
        <v>500</v>
      </c>
      <c r="B239" s="85"/>
      <c r="C239" s="61"/>
      <c r="D239" s="93" t="s">
        <v>501</v>
      </c>
      <c r="E239" s="85"/>
      <c r="F239" s="95" t="s">
        <v>502</v>
      </c>
      <c r="G239" s="85"/>
      <c r="H239" s="85"/>
      <c r="I239" s="85"/>
      <c r="J239" s="85"/>
      <c r="K239" s="61"/>
      <c r="L239" s="96"/>
      <c r="M239" s="85"/>
      <c r="N239" s="85"/>
      <c r="O239" s="61"/>
    </row>
    <row r="240" spans="1:15" ht="24.95" customHeight="1" thickBot="1" x14ac:dyDescent="0.3">
      <c r="A240" s="92" t="s">
        <v>503</v>
      </c>
      <c r="B240" s="85"/>
      <c r="C240" s="61"/>
      <c r="D240" s="90" t="s">
        <v>504</v>
      </c>
      <c r="E240" s="61"/>
      <c r="F240" s="90" t="s">
        <v>505</v>
      </c>
      <c r="G240" s="85"/>
      <c r="H240" s="85"/>
      <c r="I240" s="85"/>
      <c r="J240" s="85"/>
      <c r="K240" s="85"/>
      <c r="L240" s="85"/>
      <c r="M240" s="85"/>
      <c r="N240" s="85"/>
      <c r="O240" s="61"/>
    </row>
    <row r="241" spans="1:15" ht="24.95" customHeight="1" thickBot="1" x14ac:dyDescent="0.3">
      <c r="A241" s="92" t="s">
        <v>506</v>
      </c>
      <c r="B241" s="85"/>
      <c r="C241" s="61"/>
      <c r="D241" s="90" t="s">
        <v>504</v>
      </c>
      <c r="E241" s="61"/>
      <c r="F241" s="18" t="s">
        <v>507</v>
      </c>
      <c r="G241" s="18" t="s">
        <v>508</v>
      </c>
      <c r="H241" s="18" t="s">
        <v>509</v>
      </c>
      <c r="I241" s="18" t="s">
        <v>510</v>
      </c>
      <c r="J241" s="18" t="s">
        <v>511</v>
      </c>
      <c r="K241" s="18" t="s">
        <v>512</v>
      </c>
      <c r="L241" s="18" t="s">
        <v>513</v>
      </c>
      <c r="M241" s="18" t="s">
        <v>514</v>
      </c>
      <c r="N241" s="18" t="s">
        <v>515</v>
      </c>
      <c r="O241" s="18" t="s">
        <v>516</v>
      </c>
    </row>
    <row r="242" spans="1:15" ht="24.95" customHeight="1" thickBot="1" x14ac:dyDescent="0.3">
      <c r="A242" s="89" t="s">
        <v>517</v>
      </c>
      <c r="B242" s="85"/>
      <c r="C242" s="61"/>
      <c r="D242" s="90" t="s">
        <v>518</v>
      </c>
      <c r="E242" s="61"/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</row>
    <row r="243" spans="1:15" ht="18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</row>
    <row r="244" spans="1:15" ht="18" customHeight="1" x14ac:dyDescent="0.25">
      <c r="A244" s="19"/>
      <c r="B244" s="94" t="s">
        <v>519</v>
      </c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1:15" ht="18" customHeight="1" x14ac:dyDescent="0.25"/>
    <row r="246" spans="1:15" ht="18" customHeight="1" x14ac:dyDescent="0.25"/>
    <row r="247" spans="1:15" ht="18" customHeight="1" x14ac:dyDescent="0.25"/>
    <row r="248" spans="1:15" ht="18" customHeight="1" x14ac:dyDescent="0.25"/>
    <row r="249" spans="1:15" ht="18" customHeight="1" x14ac:dyDescent="0.25"/>
    <row r="250" spans="1:15" ht="18" customHeight="1" x14ac:dyDescent="0.25"/>
    <row r="251" spans="1:15" ht="18" customHeight="1" x14ac:dyDescent="0.25"/>
    <row r="252" spans="1:15" ht="24.95" customHeight="1" x14ac:dyDescent="0.45">
      <c r="C252" s="88" t="s">
        <v>520</v>
      </c>
      <c r="D252" s="63"/>
      <c r="E252" s="63"/>
      <c r="F252" s="63"/>
      <c r="G252" s="63"/>
      <c r="H252" s="21"/>
      <c r="I252" s="21"/>
      <c r="J252" s="88" t="s">
        <v>521</v>
      </c>
      <c r="K252" s="63"/>
      <c r="L252" s="63"/>
      <c r="M252" s="63"/>
      <c r="N252" s="63"/>
    </row>
    <row r="253" spans="1:15" ht="24.95" customHeight="1" x14ac:dyDescent="0.45">
      <c r="C253" s="88" t="s">
        <v>522</v>
      </c>
      <c r="D253" s="63"/>
      <c r="E253" s="63"/>
      <c r="F253" s="63"/>
      <c r="G253" s="63"/>
      <c r="H253" s="21"/>
      <c r="I253" s="21"/>
      <c r="J253" s="88" t="s">
        <v>522</v>
      </c>
      <c r="K253" s="63"/>
      <c r="L253" s="63"/>
      <c r="M253" s="63"/>
      <c r="N253" s="63"/>
    </row>
    <row r="254" spans="1:15" ht="18" customHeight="1" x14ac:dyDescent="0.25"/>
    <row r="255" spans="1:15" ht="18" customHeight="1" x14ac:dyDescent="0.25"/>
    <row r="256" spans="1:15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</sheetData>
  <mergeCells count="303">
    <mergeCell ref="N181:O181"/>
    <mergeCell ref="N182:O182"/>
    <mergeCell ref="N183:O183"/>
    <mergeCell ref="N184:O184"/>
    <mergeCell ref="N185:O185"/>
    <mergeCell ref="N186:O186"/>
    <mergeCell ref="A187:E187"/>
    <mergeCell ref="N187:O187"/>
    <mergeCell ref="A188:E188"/>
    <mergeCell ref="N188:O188"/>
    <mergeCell ref="N173:O173"/>
    <mergeCell ref="N174:O174"/>
    <mergeCell ref="N175:O175"/>
    <mergeCell ref="N176:O176"/>
    <mergeCell ref="A177:E177"/>
    <mergeCell ref="N177:O177"/>
    <mergeCell ref="N178:O178"/>
    <mergeCell ref="N179:O179"/>
    <mergeCell ref="N180:O180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A156:E156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A146:E146"/>
    <mergeCell ref="N146:O146"/>
    <mergeCell ref="N130:O130"/>
    <mergeCell ref="N131:O131"/>
    <mergeCell ref="N132:O132"/>
    <mergeCell ref="A133:E133"/>
    <mergeCell ref="N133:O133"/>
    <mergeCell ref="N134:O134"/>
    <mergeCell ref="N135:O135"/>
    <mergeCell ref="N136:O136"/>
    <mergeCell ref="N137:O137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13:O113"/>
    <mergeCell ref="N114:O114"/>
    <mergeCell ref="N115:O115"/>
    <mergeCell ref="N116:O116"/>
    <mergeCell ref="A117:E117"/>
    <mergeCell ref="N117:O117"/>
    <mergeCell ref="N118:O118"/>
    <mergeCell ref="N119:O119"/>
    <mergeCell ref="N120:O120"/>
    <mergeCell ref="N90:O90"/>
    <mergeCell ref="N91:O91"/>
    <mergeCell ref="N92:O92"/>
    <mergeCell ref="N93:O93"/>
    <mergeCell ref="A94:E94"/>
    <mergeCell ref="N94:O94"/>
    <mergeCell ref="N110:O110"/>
    <mergeCell ref="N111:O111"/>
    <mergeCell ref="N112:O112"/>
    <mergeCell ref="N106:O108"/>
    <mergeCell ref="B109:C109"/>
    <mergeCell ref="N109:O109"/>
    <mergeCell ref="A106:A108"/>
    <mergeCell ref="B106:B108"/>
    <mergeCell ref="C106:C108"/>
    <mergeCell ref="D106:D108"/>
    <mergeCell ref="E106:F108"/>
    <mergeCell ref="G106:G108"/>
    <mergeCell ref="H106:I106"/>
    <mergeCell ref="J106:K106"/>
    <mergeCell ref="L106:M106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A73:E73"/>
    <mergeCell ref="N73:O73"/>
    <mergeCell ref="N74:O74"/>
    <mergeCell ref="N75:O75"/>
    <mergeCell ref="N76:O76"/>
    <mergeCell ref="N77:O77"/>
    <mergeCell ref="N78:O78"/>
    <mergeCell ref="N79:O79"/>
    <mergeCell ref="N80:O80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47:O47"/>
    <mergeCell ref="N48:O48"/>
    <mergeCell ref="A49:E49"/>
    <mergeCell ref="N49:O49"/>
    <mergeCell ref="N50:O50"/>
    <mergeCell ref="N51:O51"/>
    <mergeCell ref="N52:O52"/>
    <mergeCell ref="N53:O53"/>
    <mergeCell ref="N54:O54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J252:N252"/>
    <mergeCell ref="J253:N253"/>
    <mergeCell ref="C252:G252"/>
    <mergeCell ref="C253:G253"/>
    <mergeCell ref="A242:C242"/>
    <mergeCell ref="D242:E242"/>
    <mergeCell ref="F238:O238"/>
    <mergeCell ref="F240:O240"/>
    <mergeCell ref="A240:C240"/>
    <mergeCell ref="D240:E240"/>
    <mergeCell ref="A241:C241"/>
    <mergeCell ref="D241:E241"/>
    <mergeCell ref="A238:C238"/>
    <mergeCell ref="D238:E238"/>
    <mergeCell ref="A239:C239"/>
    <mergeCell ref="D239:E239"/>
    <mergeCell ref="B244:O244"/>
    <mergeCell ref="F239:K239"/>
    <mergeCell ref="L239:O239"/>
    <mergeCell ref="J234:K234"/>
    <mergeCell ref="F235:G235"/>
    <mergeCell ref="H235:I235"/>
    <mergeCell ref="J235:K235"/>
    <mergeCell ref="F236:G236"/>
    <mergeCell ref="H236:I236"/>
    <mergeCell ref="J236:K236"/>
    <mergeCell ref="J228:K228"/>
    <mergeCell ref="J229:K229"/>
    <mergeCell ref="J231:K231"/>
    <mergeCell ref="J232:K232"/>
    <mergeCell ref="J233:K233"/>
    <mergeCell ref="F233:G233"/>
    <mergeCell ref="H233:I233"/>
    <mergeCell ref="F234:G234"/>
    <mergeCell ref="H234:I234"/>
    <mergeCell ref="F231:G231"/>
    <mergeCell ref="H231:I231"/>
    <mergeCell ref="F232:G232"/>
    <mergeCell ref="H232:I232"/>
    <mergeCell ref="F228:G228"/>
    <mergeCell ref="H228:I228"/>
    <mergeCell ref="F229:G229"/>
    <mergeCell ref="H229:I229"/>
    <mergeCell ref="J223:K223"/>
    <mergeCell ref="J224:K224"/>
    <mergeCell ref="J225:K225"/>
    <mergeCell ref="J226:K226"/>
    <mergeCell ref="J227:K227"/>
    <mergeCell ref="J218:K218"/>
    <mergeCell ref="J219:K219"/>
    <mergeCell ref="J220:K220"/>
    <mergeCell ref="J221:K221"/>
    <mergeCell ref="J222:K222"/>
    <mergeCell ref="J213:K213"/>
    <mergeCell ref="J214:K214"/>
    <mergeCell ref="J215:K215"/>
    <mergeCell ref="J216:K216"/>
    <mergeCell ref="J217:K217"/>
    <mergeCell ref="J210:K210"/>
    <mergeCell ref="J211:K211"/>
    <mergeCell ref="J212:K212"/>
    <mergeCell ref="E209:K209"/>
    <mergeCell ref="F214:G214"/>
    <mergeCell ref="H214:I214"/>
    <mergeCell ref="F215:G215"/>
    <mergeCell ref="H215:I215"/>
    <mergeCell ref="F212:G212"/>
    <mergeCell ref="H212:I212"/>
    <mergeCell ref="F213:G213"/>
    <mergeCell ref="H213:I213"/>
    <mergeCell ref="F210:G210"/>
    <mergeCell ref="H210:I210"/>
    <mergeCell ref="F211:G211"/>
    <mergeCell ref="H211:I211"/>
    <mergeCell ref="F227:G227"/>
    <mergeCell ref="H227:I227"/>
    <mergeCell ref="F224:G224"/>
    <mergeCell ref="H224:I224"/>
    <mergeCell ref="F225:G225"/>
    <mergeCell ref="H225:I225"/>
    <mergeCell ref="F222:G222"/>
    <mergeCell ref="H222:I222"/>
    <mergeCell ref="F223:G223"/>
    <mergeCell ref="H223:I223"/>
    <mergeCell ref="F218:G218"/>
    <mergeCell ref="H218:I218"/>
    <mergeCell ref="F219:G219"/>
    <mergeCell ref="H219:I219"/>
    <mergeCell ref="F216:G216"/>
    <mergeCell ref="H216:I216"/>
    <mergeCell ref="F217:G217"/>
    <mergeCell ref="H217:I217"/>
    <mergeCell ref="F226:G226"/>
    <mergeCell ref="H226:I226"/>
    <mergeCell ref="F230:G230"/>
    <mergeCell ref="H230:I230"/>
    <mergeCell ref="J230:K230"/>
    <mergeCell ref="A1:N1"/>
    <mergeCell ref="B10:C10"/>
    <mergeCell ref="A7:A9"/>
    <mergeCell ref="D7:D9"/>
    <mergeCell ref="G7:G9"/>
    <mergeCell ref="C3:M3"/>
    <mergeCell ref="C4:M4"/>
    <mergeCell ref="B7:B9"/>
    <mergeCell ref="C7:C9"/>
    <mergeCell ref="L7:M7"/>
    <mergeCell ref="C6:D6"/>
    <mergeCell ref="N7:O9"/>
    <mergeCell ref="N10:O10"/>
    <mergeCell ref="E7:F9"/>
    <mergeCell ref="H7:I7"/>
    <mergeCell ref="J7:K7"/>
    <mergeCell ref="C2:M2"/>
    <mergeCell ref="F220:G220"/>
    <mergeCell ref="H220:I220"/>
    <mergeCell ref="F221:G221"/>
    <mergeCell ref="H221:I221"/>
  </mergeCells>
  <pageMargins left="0.2" right="0.2" top="0.2" bottom="0.2" header="0.3" footer="0.3"/>
  <pageSetup paperSize="9" scale="43" orientation="portrait" r:id="rId1"/>
  <headerFooter>
    <oddHeader>&amp;R&amp;"Arial,Bold"&amp;14 QF-LDC-07
page &amp;P of &amp;N</oddHeader>
  </headerFooter>
  <rowBreaks count="1" manualBreakCount="1">
    <brk id="10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7545-7968-4296-9175-8CE934BF14C1}">
  <dimension ref="A1:HK48"/>
  <sheetViews>
    <sheetView view="pageBreakPreview" zoomScale="70" zoomScaleNormal="25" zoomScaleSheetLayoutView="70" zoomScalePageLayoutView="40" workbookViewId="0">
      <pane xSplit="1" topLeftCell="B1" activePane="topRight" state="frozen"/>
      <selection pane="topRight" activeCell="I21" sqref="I21"/>
    </sheetView>
  </sheetViews>
  <sheetFormatPr defaultColWidth="8.7109375" defaultRowHeight="14.25" x14ac:dyDescent="0.2"/>
  <cols>
    <col min="1" max="1" width="11.7109375" style="34" customWidth="1" collapsed="1"/>
    <col min="2" max="12" width="14.7109375" style="34" customWidth="1" collapsed="1"/>
    <col min="13" max="14" width="14.7109375" style="34" customWidth="1"/>
    <col min="15" max="16" width="14.7109375" style="34" customWidth="1" collapsed="1"/>
    <col min="17" max="17" width="14.7109375" style="34" customWidth="1"/>
    <col min="18" max="35" width="14.7109375" style="34" customWidth="1" collapsed="1"/>
    <col min="36" max="40" width="14.7109375" style="34" customWidth="1"/>
    <col min="41" max="51" width="14.7109375" style="34" customWidth="1" collapsed="1"/>
    <col min="52" max="53" width="14.7109375" style="34" customWidth="1"/>
    <col min="54" max="54" width="14.7109375" style="34" customWidth="1" collapsed="1"/>
    <col min="55" max="57" width="14.7109375" style="34" customWidth="1"/>
    <col min="58" max="61" width="14.7109375" style="34" customWidth="1" collapsed="1"/>
    <col min="62" max="62" width="14.7109375" style="34" customWidth="1"/>
    <col min="63" max="63" width="14.7109375" style="34" customWidth="1" collapsed="1"/>
    <col min="64" max="71" width="14.7109375" style="34" customWidth="1"/>
    <col min="72" max="78" width="14.7109375" style="34" customWidth="1" collapsed="1"/>
    <col min="79" max="80" width="14.7109375" style="34" customWidth="1"/>
    <col min="81" max="88" width="14.7109375" style="34" customWidth="1" collapsed="1"/>
    <col min="89" max="90" width="14.7109375" style="34" customWidth="1"/>
    <col min="91" max="92" width="14.7109375" style="34" customWidth="1" collapsed="1"/>
    <col min="93" max="94" width="14.7109375" style="34" customWidth="1"/>
    <col min="95" max="96" width="14.7109375" style="34" customWidth="1" collapsed="1"/>
    <col min="97" max="97" width="14.7109375" style="34" customWidth="1"/>
    <col min="98" max="99" width="14.7109375" style="34" customWidth="1" collapsed="1"/>
    <col min="100" max="100" width="14.7109375" style="34" customWidth="1"/>
    <col min="101" max="102" width="14.7109375" style="34" customWidth="1" collapsed="1"/>
    <col min="103" max="103" width="14.7109375" style="34" customWidth="1"/>
    <col min="104" max="105" width="14.7109375" style="34" customWidth="1" collapsed="1"/>
    <col min="106" max="106" width="14.7109375" style="34" customWidth="1"/>
    <col min="107" max="107" width="14.7109375" style="34" customWidth="1" collapsed="1"/>
    <col min="108" max="110" width="14.7109375" style="34" customWidth="1"/>
    <col min="111" max="117" width="14.7109375" style="34" customWidth="1" collapsed="1"/>
    <col min="118" max="120" width="14.7109375" style="34" customWidth="1"/>
    <col min="121" max="123" width="14.7109375" style="34" customWidth="1" collapsed="1"/>
    <col min="124" max="134" width="14.7109375" style="34" customWidth="1"/>
    <col min="135" max="135" width="14.7109375" style="34" customWidth="1" collapsed="1"/>
    <col min="136" max="136" width="14.7109375" style="34" customWidth="1"/>
    <col min="137" max="138" width="14.7109375" style="34" customWidth="1" collapsed="1"/>
    <col min="139" max="139" width="14.7109375" style="34" customWidth="1"/>
    <col min="140" max="143" width="14.7109375" style="34" customWidth="1" collapsed="1"/>
    <col min="144" max="144" width="14.7109375" style="34" customWidth="1"/>
    <col min="145" max="145" width="14.7109375" style="34" customWidth="1" collapsed="1"/>
    <col min="146" max="153" width="14.7109375" style="34" customWidth="1"/>
    <col min="154" max="159" width="14.7109375" style="34" customWidth="1" collapsed="1"/>
    <col min="160" max="160" width="14.7109375" style="34" customWidth="1"/>
    <col min="161" max="163" width="14.7109375" style="34" customWidth="1" collapsed="1"/>
    <col min="164" max="165" width="14.7109375" style="34" customWidth="1"/>
    <col min="166" max="171" width="14.7109375" style="34" customWidth="1" collapsed="1"/>
    <col min="172" max="172" width="14.7109375" style="34" customWidth="1"/>
    <col min="173" max="178" width="14.7109375" style="34" customWidth="1" collapsed="1"/>
    <col min="179" max="179" width="14.7109375" style="34" customWidth="1"/>
    <col min="180" max="187" width="14.7109375" style="34" customWidth="1" collapsed="1"/>
    <col min="188" max="188" width="11.7109375" style="34" customWidth="1" collapsed="1"/>
    <col min="189" max="229" width="11.7109375" style="34" customWidth="1"/>
    <col min="230" max="230" width="8.7109375" style="34" customWidth="1"/>
    <col min="231" max="16384" width="8.7109375" style="34"/>
  </cols>
  <sheetData>
    <row r="1" spans="1:219" ht="25.5" customHeight="1" x14ac:dyDescent="0.2">
      <c r="EM1" s="46"/>
      <c r="EN1" s="46"/>
      <c r="FC1" s="52"/>
      <c r="FD1" s="52"/>
      <c r="FE1" s="52"/>
      <c r="FQ1" s="52"/>
      <c r="FR1" s="52"/>
      <c r="FS1" s="52"/>
      <c r="FT1" s="46"/>
    </row>
    <row r="2" spans="1:219" ht="43.5" customHeight="1" x14ac:dyDescent="0.2">
      <c r="H2" s="103" t="s">
        <v>0</v>
      </c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59"/>
      <c r="AA2" s="59"/>
      <c r="AB2" s="59"/>
      <c r="AC2" s="101" t="s">
        <v>693</v>
      </c>
      <c r="AD2" s="102"/>
      <c r="AE2" s="57"/>
      <c r="AL2" s="103" t="s">
        <v>0</v>
      </c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59"/>
      <c r="BE2" s="59"/>
      <c r="BF2" s="59"/>
      <c r="BG2" s="101" t="str">
        <f>AC2</f>
        <v>QF-LDC-01</v>
      </c>
      <c r="BH2" s="102"/>
      <c r="BI2" s="59"/>
      <c r="BJ2" s="59"/>
      <c r="BK2" s="59"/>
      <c r="BL2" s="59"/>
      <c r="BM2" s="59"/>
      <c r="BN2" s="59"/>
      <c r="BO2" s="59"/>
      <c r="BP2" s="103" t="s">
        <v>0</v>
      </c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59"/>
      <c r="CJ2" s="59"/>
      <c r="CK2" s="101" t="str">
        <f>AC2</f>
        <v>QF-LDC-01</v>
      </c>
      <c r="CL2" s="102"/>
      <c r="CM2" s="59"/>
      <c r="CN2" s="59"/>
      <c r="CO2" s="59"/>
      <c r="CP2" s="59"/>
      <c r="CQ2" s="59"/>
      <c r="CR2" s="59"/>
      <c r="CS2" s="59"/>
      <c r="CT2" s="103" t="s">
        <v>0</v>
      </c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59"/>
      <c r="DM2" s="59"/>
      <c r="DN2" s="59"/>
      <c r="DO2" s="101" t="str">
        <f>AC2</f>
        <v>QF-LDC-01</v>
      </c>
      <c r="DP2" s="102"/>
      <c r="DU2" s="59"/>
      <c r="DV2" s="59"/>
      <c r="DW2" s="59"/>
      <c r="DX2" s="103" t="s">
        <v>0</v>
      </c>
      <c r="DY2" s="102"/>
      <c r="DZ2" s="102"/>
      <c r="EA2" s="102"/>
      <c r="EB2" s="102"/>
      <c r="EC2" s="102"/>
      <c r="ED2" s="102"/>
      <c r="EE2" s="102"/>
      <c r="EF2" s="102"/>
      <c r="EG2" s="102"/>
      <c r="EH2" s="102"/>
      <c r="EI2" s="102"/>
      <c r="EJ2" s="102"/>
      <c r="EK2" s="102"/>
      <c r="EL2" s="102"/>
      <c r="EM2" s="102"/>
      <c r="EN2" s="102"/>
      <c r="EO2" s="102"/>
      <c r="EP2" s="59"/>
      <c r="EQ2" s="59"/>
      <c r="ER2" s="59"/>
      <c r="ES2" s="101" t="str">
        <f>AC2</f>
        <v>QF-LDC-01</v>
      </c>
      <c r="ET2" s="102"/>
      <c r="FB2" s="103" t="s">
        <v>0</v>
      </c>
      <c r="FC2" s="102"/>
      <c r="FD2" s="102"/>
      <c r="FE2" s="102"/>
      <c r="FF2" s="102"/>
      <c r="FG2" s="102"/>
      <c r="FH2" s="102"/>
      <c r="FI2" s="102"/>
      <c r="FJ2" s="102"/>
      <c r="FK2" s="102"/>
      <c r="FL2" s="102"/>
      <c r="FM2" s="102"/>
      <c r="FN2" s="102"/>
      <c r="FO2" s="102"/>
      <c r="FP2" s="102"/>
      <c r="FQ2" s="102"/>
      <c r="FR2" s="102"/>
      <c r="FS2" s="102"/>
      <c r="FT2" s="59"/>
      <c r="FU2" s="59"/>
      <c r="FV2" s="59"/>
      <c r="FW2" s="101" t="str">
        <f>AC2</f>
        <v>QF-LDC-01</v>
      </c>
      <c r="FX2" s="102"/>
      <c r="FY2" s="59"/>
      <c r="FZ2" s="59"/>
      <c r="GA2" s="59"/>
      <c r="GB2" s="59"/>
      <c r="GI2" s="57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</row>
    <row r="3" spans="1:219" ht="37.5" customHeight="1" x14ac:dyDescent="0.4">
      <c r="H3" s="104" t="s">
        <v>1</v>
      </c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56"/>
      <c r="AA3" s="56"/>
      <c r="AB3" s="56"/>
      <c r="AC3" s="101" t="s">
        <v>692</v>
      </c>
      <c r="AD3" s="102"/>
      <c r="AE3" s="57"/>
      <c r="AL3" s="104" t="s">
        <v>1</v>
      </c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56"/>
      <c r="BE3" s="56"/>
      <c r="BF3" s="56"/>
      <c r="BG3" s="101" t="s">
        <v>691</v>
      </c>
      <c r="BH3" s="102"/>
      <c r="BI3" s="56"/>
      <c r="BJ3" s="56"/>
      <c r="BK3" s="56"/>
      <c r="BL3" s="56"/>
      <c r="BM3" s="56"/>
      <c r="BN3" s="56"/>
      <c r="BO3" s="56"/>
      <c r="BP3" s="104" t="s">
        <v>1</v>
      </c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58"/>
      <c r="CJ3" s="58"/>
      <c r="CK3" s="101" t="s">
        <v>690</v>
      </c>
      <c r="CL3" s="102"/>
      <c r="CM3" s="58"/>
      <c r="CN3" s="58"/>
      <c r="CO3" s="58"/>
      <c r="CP3" s="58"/>
      <c r="CQ3" s="58"/>
      <c r="CR3" s="58"/>
      <c r="CS3" s="58"/>
      <c r="CT3" s="104" t="s">
        <v>1</v>
      </c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/>
      <c r="DG3" s="102"/>
      <c r="DH3" s="102"/>
      <c r="DI3" s="102"/>
      <c r="DJ3" s="102"/>
      <c r="DK3" s="102"/>
      <c r="DL3" s="56"/>
      <c r="DM3" s="56"/>
      <c r="DN3" s="56"/>
      <c r="DO3" s="101" t="s">
        <v>689</v>
      </c>
      <c r="DP3" s="102"/>
      <c r="DU3" s="56"/>
      <c r="DV3" s="56"/>
      <c r="DW3" s="56"/>
      <c r="DX3" s="104" t="s">
        <v>1</v>
      </c>
      <c r="DY3" s="102"/>
      <c r="DZ3" s="102"/>
      <c r="EA3" s="102"/>
      <c r="EB3" s="102"/>
      <c r="EC3" s="102"/>
      <c r="ED3" s="102"/>
      <c r="EE3" s="102"/>
      <c r="EF3" s="102"/>
      <c r="EG3" s="102"/>
      <c r="EH3" s="102"/>
      <c r="EI3" s="102"/>
      <c r="EJ3" s="102"/>
      <c r="EK3" s="102"/>
      <c r="EL3" s="102"/>
      <c r="EM3" s="102"/>
      <c r="EN3" s="102"/>
      <c r="EO3" s="102"/>
      <c r="EP3" s="56"/>
      <c r="EQ3" s="56"/>
      <c r="ER3" s="56"/>
      <c r="ES3" s="101" t="s">
        <v>688</v>
      </c>
      <c r="ET3" s="102"/>
      <c r="FB3" s="104" t="s">
        <v>1</v>
      </c>
      <c r="FC3" s="102"/>
      <c r="FD3" s="102"/>
      <c r="FE3" s="102"/>
      <c r="FF3" s="102"/>
      <c r="FG3" s="102"/>
      <c r="FH3" s="102"/>
      <c r="FI3" s="102"/>
      <c r="FJ3" s="102"/>
      <c r="FK3" s="102"/>
      <c r="FL3" s="102"/>
      <c r="FM3" s="102"/>
      <c r="FN3" s="102"/>
      <c r="FO3" s="102"/>
      <c r="FP3" s="102"/>
      <c r="FQ3" s="102"/>
      <c r="FR3" s="102"/>
      <c r="FS3" s="102"/>
      <c r="FT3" s="56"/>
      <c r="FU3" s="56"/>
      <c r="FV3" s="56"/>
      <c r="FW3" s="101" t="s">
        <v>687</v>
      </c>
      <c r="FX3" s="102"/>
      <c r="FY3" s="56"/>
      <c r="FZ3" s="56"/>
      <c r="GA3" s="56"/>
      <c r="GB3" s="56"/>
      <c r="GI3" s="57"/>
      <c r="GS3" s="56"/>
      <c r="GT3" s="56"/>
      <c r="GU3" s="56"/>
      <c r="GV3" s="56"/>
      <c r="GW3" s="56"/>
      <c r="GX3" s="56"/>
      <c r="GY3" s="56"/>
      <c r="GZ3" s="56"/>
      <c r="HA3" s="56"/>
      <c r="HB3" s="56"/>
      <c r="HC3" s="56"/>
      <c r="HD3" s="56"/>
      <c r="HE3" s="56"/>
      <c r="HF3" s="56"/>
      <c r="HG3" s="56"/>
      <c r="HH3" s="56"/>
      <c r="HI3" s="56"/>
      <c r="HJ3" s="56"/>
      <c r="HK3" s="56"/>
    </row>
    <row r="4" spans="1:219" ht="37.5" customHeight="1" x14ac:dyDescent="0.2">
      <c r="H4" s="104" t="s">
        <v>686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56"/>
      <c r="AA4" s="56"/>
      <c r="AB4" s="56"/>
      <c r="AC4" s="56"/>
      <c r="AL4" s="104" t="str">
        <f>H4</f>
        <v>Daily Generation Log (Mega Watt)</v>
      </c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104" t="str">
        <f>H4</f>
        <v>Daily Generation Log (Mega Watt)</v>
      </c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104" t="str">
        <f>H4</f>
        <v>Daily Generation Log (Mega Watt)</v>
      </c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56"/>
      <c r="DM4" s="56"/>
      <c r="DN4" s="56"/>
      <c r="DO4" s="56"/>
      <c r="DP4" s="56"/>
      <c r="DU4" s="56"/>
      <c r="DV4" s="56"/>
      <c r="DW4" s="56"/>
      <c r="DX4" s="104" t="str">
        <f>H4</f>
        <v>Daily Generation Log (Mega Watt)</v>
      </c>
      <c r="DY4" s="102"/>
      <c r="DZ4" s="102"/>
      <c r="EA4" s="102"/>
      <c r="EB4" s="102"/>
      <c r="EC4" s="102"/>
      <c r="ED4" s="102"/>
      <c r="EE4" s="102"/>
      <c r="EF4" s="102"/>
      <c r="EG4" s="102"/>
      <c r="EH4" s="102"/>
      <c r="EI4" s="102"/>
      <c r="EJ4" s="102"/>
      <c r="EK4" s="102"/>
      <c r="EL4" s="102"/>
      <c r="EM4" s="102"/>
      <c r="EN4" s="102"/>
      <c r="EO4" s="102"/>
      <c r="EP4" s="56"/>
      <c r="EQ4" s="56"/>
      <c r="ER4" s="56"/>
      <c r="ES4" s="56"/>
      <c r="ET4" s="56"/>
      <c r="EU4" s="56"/>
      <c r="EV4" s="56"/>
      <c r="FB4" s="104" t="str">
        <f>H4</f>
        <v>Daily Generation Log (Mega Watt)</v>
      </c>
      <c r="FC4" s="102"/>
      <c r="FD4" s="102"/>
      <c r="FE4" s="102"/>
      <c r="FF4" s="102"/>
      <c r="FG4" s="102"/>
      <c r="FH4" s="102"/>
      <c r="FI4" s="102"/>
      <c r="FJ4" s="102"/>
      <c r="FK4" s="102"/>
      <c r="FL4" s="102"/>
      <c r="FM4" s="102"/>
      <c r="FN4" s="102"/>
      <c r="FO4" s="102"/>
      <c r="FP4" s="102"/>
      <c r="FQ4" s="102"/>
      <c r="FR4" s="102"/>
      <c r="FS4" s="102"/>
      <c r="FT4" s="56"/>
      <c r="FU4" s="56"/>
      <c r="FV4" s="56"/>
      <c r="FW4" s="56"/>
      <c r="FX4" s="56"/>
      <c r="FY4" s="56"/>
      <c r="FZ4" s="56"/>
      <c r="GA4" s="56"/>
      <c r="GB4" s="56"/>
      <c r="GS4" s="56"/>
      <c r="GT4" s="56"/>
      <c r="GU4" s="56"/>
      <c r="GV4" s="56"/>
      <c r="GW4" s="56"/>
      <c r="GX4" s="56"/>
      <c r="GY4" s="56"/>
      <c r="GZ4" s="56"/>
      <c r="HA4" s="56"/>
      <c r="HB4" s="56"/>
      <c r="HC4" s="56"/>
      <c r="HD4" s="56"/>
      <c r="HE4" s="56"/>
      <c r="HF4" s="56"/>
      <c r="HG4" s="56"/>
      <c r="HH4" s="56"/>
      <c r="HI4" s="56"/>
      <c r="HJ4" s="56"/>
      <c r="HK4" s="56"/>
    </row>
    <row r="5" spans="1:219" ht="30" customHeight="1" x14ac:dyDescent="0.2">
      <c r="EM5" s="46"/>
      <c r="EN5" s="46"/>
      <c r="FC5" s="52"/>
      <c r="FD5" s="52"/>
      <c r="FE5" s="52"/>
      <c r="FQ5" s="52"/>
      <c r="FR5" s="52"/>
      <c r="FS5" s="52"/>
      <c r="FT5" s="46"/>
    </row>
    <row r="6" spans="1:219" ht="30" customHeight="1" x14ac:dyDescent="0.35">
      <c r="A6" s="52"/>
      <c r="C6" s="112" t="s">
        <v>685</v>
      </c>
      <c r="D6" s="114"/>
      <c r="E6" s="112" t="s">
        <v>684</v>
      </c>
      <c r="F6" s="113"/>
      <c r="G6" s="113"/>
      <c r="H6" s="113"/>
      <c r="I6" s="114"/>
      <c r="X6" s="50"/>
      <c r="AF6" s="50"/>
      <c r="AH6" s="46"/>
      <c r="AJ6" s="46"/>
      <c r="AK6" s="46"/>
      <c r="AR6" s="46"/>
      <c r="AV6" s="46"/>
      <c r="BH6" s="46"/>
      <c r="BU6" s="46"/>
      <c r="BX6" s="52"/>
      <c r="BY6" s="52"/>
      <c r="BZ6" s="46"/>
      <c r="CA6" s="46"/>
      <c r="CB6" s="46"/>
      <c r="CD6" s="46"/>
      <c r="CE6" s="46"/>
      <c r="CF6" s="46"/>
      <c r="CP6" s="46"/>
      <c r="CT6" s="46"/>
      <c r="CU6" s="46"/>
      <c r="DA6" s="46"/>
      <c r="DM6" s="46"/>
      <c r="EE6" s="46"/>
      <c r="EF6" s="46"/>
      <c r="EG6" s="49"/>
      <c r="FL6" s="46"/>
      <c r="GC6" s="46"/>
    </row>
    <row r="7" spans="1:219" ht="30" customHeight="1" x14ac:dyDescent="0.35">
      <c r="A7" s="52"/>
      <c r="C7" s="115" t="s">
        <v>683</v>
      </c>
      <c r="D7" s="114"/>
      <c r="E7" s="112"/>
      <c r="F7" s="113"/>
      <c r="G7" s="113"/>
      <c r="H7" s="113"/>
      <c r="I7" s="114"/>
      <c r="K7" s="34" t="s">
        <v>545</v>
      </c>
      <c r="Z7" s="53" t="s">
        <v>682</v>
      </c>
      <c r="AA7" s="105" t="s">
        <v>15</v>
      </c>
      <c r="AB7" s="102"/>
      <c r="AC7" s="102"/>
      <c r="AD7" s="102"/>
      <c r="AE7" s="54"/>
      <c r="AF7" s="50"/>
      <c r="AH7" s="54"/>
      <c r="AI7" s="54"/>
      <c r="AJ7" s="54"/>
      <c r="AK7" s="54"/>
      <c r="AR7" s="46"/>
      <c r="AV7" s="46"/>
      <c r="BD7" s="53" t="s">
        <v>682</v>
      </c>
      <c r="BE7" s="105" t="str">
        <f>AA7</f>
        <v>11-05-2025</v>
      </c>
      <c r="BF7" s="102"/>
      <c r="BG7" s="102"/>
      <c r="BH7" s="102"/>
      <c r="BK7" s="54"/>
      <c r="BX7" s="46"/>
      <c r="BY7" s="46"/>
      <c r="BZ7" s="46"/>
      <c r="CA7" s="46"/>
      <c r="CB7" s="46"/>
      <c r="CD7" s="46"/>
      <c r="CE7" s="46"/>
      <c r="CF7" s="46"/>
      <c r="CH7" s="53" t="s">
        <v>682</v>
      </c>
      <c r="CI7" s="105" t="str">
        <f>AA7</f>
        <v>11-05-2025</v>
      </c>
      <c r="CJ7" s="102"/>
      <c r="CK7" s="102"/>
      <c r="CL7" s="102"/>
      <c r="CT7" s="46"/>
      <c r="CU7" s="46"/>
      <c r="DA7" s="46"/>
      <c r="DL7" s="53" t="s">
        <v>682</v>
      </c>
      <c r="DM7" s="105" t="str">
        <f>AA7</f>
        <v>11-05-2025</v>
      </c>
      <c r="DN7" s="102"/>
      <c r="DO7" s="102"/>
      <c r="DP7" s="102"/>
      <c r="EE7" s="46"/>
      <c r="EF7" s="46"/>
      <c r="EG7" s="49"/>
      <c r="EP7" s="53" t="s">
        <v>682</v>
      </c>
      <c r="EQ7" s="105" t="str">
        <f>AA7</f>
        <v>11-05-2025</v>
      </c>
      <c r="ER7" s="102"/>
      <c r="ES7" s="102"/>
      <c r="ET7" s="102"/>
      <c r="EY7" s="55"/>
      <c r="EZ7" s="54"/>
      <c r="FA7" s="54"/>
      <c r="FB7" s="54"/>
      <c r="FC7" s="54"/>
      <c r="FL7" s="46"/>
      <c r="FT7" s="53" t="s">
        <v>682</v>
      </c>
      <c r="FU7" s="105" t="str">
        <f>AA7</f>
        <v>11-05-2025</v>
      </c>
      <c r="FV7" s="102"/>
      <c r="FW7" s="102"/>
      <c r="FX7" s="102"/>
    </row>
    <row r="8" spans="1:219" ht="30" customHeight="1" x14ac:dyDescent="0.35">
      <c r="A8" s="52"/>
      <c r="C8" s="115" t="s">
        <v>681</v>
      </c>
      <c r="D8" s="114"/>
      <c r="E8" s="112"/>
      <c r="F8" s="113"/>
      <c r="G8" s="113"/>
      <c r="H8" s="113"/>
      <c r="I8" s="114"/>
      <c r="L8" s="34" t="s">
        <v>545</v>
      </c>
      <c r="Z8" s="53" t="s">
        <v>679</v>
      </c>
      <c r="AA8" s="105" t="s">
        <v>680</v>
      </c>
      <c r="AB8" s="102"/>
      <c r="AC8" s="102"/>
      <c r="AD8" s="102"/>
      <c r="AE8" s="54"/>
      <c r="AF8" s="50"/>
      <c r="AH8" s="54"/>
      <c r="AI8" s="54"/>
      <c r="AJ8" s="54"/>
      <c r="AK8" s="54"/>
      <c r="AR8" s="46"/>
      <c r="AV8" s="46"/>
      <c r="BD8" s="53" t="s">
        <v>679</v>
      </c>
      <c r="BE8" s="105" t="str">
        <f>AA8</f>
        <v>Sunday</v>
      </c>
      <c r="BF8" s="102"/>
      <c r="BG8" s="102"/>
      <c r="BH8" s="102"/>
      <c r="BK8" s="54"/>
      <c r="BX8" s="46"/>
      <c r="BY8" s="46"/>
      <c r="BZ8" s="46"/>
      <c r="CA8" s="46"/>
      <c r="CB8" s="46"/>
      <c r="CD8" s="46"/>
      <c r="CE8" s="46"/>
      <c r="CF8" s="46"/>
      <c r="CH8" s="53" t="s">
        <v>679</v>
      </c>
      <c r="CI8" s="105" t="str">
        <f>AA8</f>
        <v>Sunday</v>
      </c>
      <c r="CJ8" s="102"/>
      <c r="CK8" s="102"/>
      <c r="CL8" s="102"/>
      <c r="CT8" s="46"/>
      <c r="CU8" s="46"/>
      <c r="DA8" s="46"/>
      <c r="DL8" s="53" t="s">
        <v>679</v>
      </c>
      <c r="DM8" s="105" t="str">
        <f>AA8</f>
        <v>Sunday</v>
      </c>
      <c r="DN8" s="102"/>
      <c r="DO8" s="102"/>
      <c r="DP8" s="102"/>
      <c r="EE8" s="46"/>
      <c r="EF8" s="46"/>
      <c r="EG8" s="49"/>
      <c r="EP8" s="53" t="s">
        <v>679</v>
      </c>
      <c r="EQ8" s="105" t="str">
        <f>AA8</f>
        <v>Sunday</v>
      </c>
      <c r="ER8" s="102"/>
      <c r="ES8" s="102"/>
      <c r="ET8" s="102"/>
      <c r="EY8" s="55"/>
      <c r="EZ8" s="54"/>
      <c r="FA8" s="54"/>
      <c r="FB8" s="54"/>
      <c r="FC8" s="54"/>
      <c r="FL8" s="46"/>
      <c r="FT8" s="53" t="s">
        <v>679</v>
      </c>
      <c r="FU8" s="105" t="str">
        <f>AA8</f>
        <v>Sunday</v>
      </c>
      <c r="FV8" s="102"/>
      <c r="FW8" s="102"/>
      <c r="FX8" s="102"/>
    </row>
    <row r="9" spans="1:219" ht="30" customHeight="1" x14ac:dyDescent="0.35">
      <c r="A9" s="52"/>
      <c r="C9" s="115" t="s">
        <v>678</v>
      </c>
      <c r="D9" s="114"/>
      <c r="E9" s="112"/>
      <c r="F9" s="113"/>
      <c r="G9" s="113"/>
      <c r="H9" s="113"/>
      <c r="I9" s="114"/>
      <c r="AF9" s="50"/>
      <c r="AH9" s="46"/>
      <c r="AJ9" s="46"/>
      <c r="AK9" s="46"/>
      <c r="AR9" s="46"/>
      <c r="AV9" s="46"/>
      <c r="BH9" s="46"/>
      <c r="BU9" s="46"/>
      <c r="BX9" s="46"/>
      <c r="BY9" s="46"/>
      <c r="BZ9" s="46"/>
      <c r="CA9" s="46"/>
      <c r="CB9" s="46"/>
      <c r="CD9" s="46"/>
      <c r="CE9" s="46"/>
      <c r="CF9" s="46"/>
      <c r="CM9" s="34" t="s">
        <v>545</v>
      </c>
      <c r="CP9" s="46"/>
      <c r="CT9" s="46"/>
      <c r="CU9" s="46"/>
      <c r="DA9" s="46"/>
      <c r="DM9" s="46"/>
      <c r="EE9" s="46"/>
      <c r="EF9" s="46"/>
      <c r="EG9" s="49"/>
      <c r="FL9" s="46"/>
      <c r="GC9" s="46"/>
    </row>
    <row r="10" spans="1:219" ht="12.75" customHeight="1" thickBot="1" x14ac:dyDescent="0.35">
      <c r="A10" s="52"/>
      <c r="C10" s="46"/>
      <c r="D10" s="46"/>
      <c r="E10" s="51"/>
      <c r="F10" s="51"/>
      <c r="G10" s="51"/>
      <c r="H10" s="51"/>
      <c r="I10" s="51"/>
      <c r="AF10" s="50"/>
      <c r="AH10" s="46"/>
      <c r="AJ10" s="46"/>
      <c r="AK10" s="46"/>
      <c r="AR10" s="46"/>
      <c r="AV10" s="46"/>
      <c r="BH10" s="46"/>
      <c r="BU10" s="46"/>
      <c r="BX10" s="46"/>
      <c r="BY10" s="46"/>
      <c r="BZ10" s="46"/>
      <c r="CA10" s="46"/>
      <c r="CB10" s="46"/>
      <c r="CD10" s="46"/>
      <c r="CE10" s="46"/>
      <c r="CF10" s="46"/>
      <c r="CP10" s="46"/>
      <c r="CT10" s="46"/>
      <c r="CU10" s="46"/>
      <c r="DA10" s="46"/>
      <c r="DM10" s="46"/>
      <c r="EE10" s="46"/>
      <c r="EF10" s="46"/>
      <c r="EG10" s="49"/>
      <c r="FL10" s="46"/>
      <c r="GC10" s="46"/>
    </row>
    <row r="11" spans="1:219" ht="90" customHeight="1" thickBot="1" x14ac:dyDescent="0.25">
      <c r="A11" s="116" t="s">
        <v>494</v>
      </c>
      <c r="B11" s="48" t="s">
        <v>83</v>
      </c>
      <c r="C11" s="48" t="s">
        <v>123</v>
      </c>
      <c r="D11" s="48" t="s">
        <v>108</v>
      </c>
      <c r="E11" s="48" t="s">
        <v>33</v>
      </c>
      <c r="F11" s="48" t="s">
        <v>22</v>
      </c>
      <c r="G11" s="48" t="s">
        <v>28</v>
      </c>
      <c r="H11" s="48" t="s">
        <v>31</v>
      </c>
      <c r="I11" s="48" t="s">
        <v>37</v>
      </c>
      <c r="J11" s="48" t="s">
        <v>47</v>
      </c>
      <c r="K11" s="48" t="s">
        <v>42</v>
      </c>
      <c r="L11" s="48" t="s">
        <v>143</v>
      </c>
      <c r="M11" s="48" t="s">
        <v>87</v>
      </c>
      <c r="N11" s="48" t="s">
        <v>136</v>
      </c>
      <c r="O11" s="48" t="s">
        <v>119</v>
      </c>
      <c r="P11" s="48" t="s">
        <v>90</v>
      </c>
      <c r="Q11" s="48" t="s">
        <v>116</v>
      </c>
      <c r="R11" s="48" t="s">
        <v>61</v>
      </c>
      <c r="S11" s="48" t="s">
        <v>93</v>
      </c>
      <c r="T11" s="48" t="s">
        <v>130</v>
      </c>
      <c r="U11" s="48" t="s">
        <v>103</v>
      </c>
      <c r="V11" s="48" t="s">
        <v>127</v>
      </c>
      <c r="W11" s="48" t="s">
        <v>54</v>
      </c>
      <c r="X11" s="48" t="s">
        <v>57</v>
      </c>
      <c r="Y11" s="48" t="s">
        <v>677</v>
      </c>
      <c r="Z11" s="48" t="s">
        <v>676</v>
      </c>
      <c r="AA11" s="48" t="s">
        <v>96</v>
      </c>
      <c r="AB11" s="48" t="s">
        <v>106</v>
      </c>
      <c r="AC11" s="48" t="s">
        <v>80</v>
      </c>
      <c r="AD11" s="48" t="s">
        <v>76</v>
      </c>
      <c r="AE11" s="48" t="s">
        <v>73</v>
      </c>
      <c r="AF11" s="48" t="s">
        <v>133</v>
      </c>
      <c r="AG11" s="48" t="s">
        <v>145</v>
      </c>
      <c r="AH11" s="48" t="s">
        <v>98</v>
      </c>
      <c r="AI11" s="48" t="s">
        <v>100</v>
      </c>
      <c r="AJ11" s="48" t="s">
        <v>112</v>
      </c>
      <c r="AK11" s="48" t="s">
        <v>139</v>
      </c>
      <c r="AL11" s="48" t="s">
        <v>201</v>
      </c>
      <c r="AM11" s="48" t="s">
        <v>189</v>
      </c>
      <c r="AN11" s="48" t="s">
        <v>184</v>
      </c>
      <c r="AO11" s="48" t="s">
        <v>148</v>
      </c>
      <c r="AP11" s="48" t="s">
        <v>212</v>
      </c>
      <c r="AQ11" s="48" t="s">
        <v>176</v>
      </c>
      <c r="AR11" s="48" t="s">
        <v>172</v>
      </c>
      <c r="AS11" s="48" t="s">
        <v>192</v>
      </c>
      <c r="AT11" s="48" t="s">
        <v>179</v>
      </c>
      <c r="AU11" s="48" t="s">
        <v>198</v>
      </c>
      <c r="AV11" s="48" t="s">
        <v>187</v>
      </c>
      <c r="AW11" s="48" t="s">
        <v>160</v>
      </c>
      <c r="AX11" s="48" t="s">
        <v>195</v>
      </c>
      <c r="AY11" s="48" t="s">
        <v>181</v>
      </c>
      <c r="AZ11" s="48" t="s">
        <v>216</v>
      </c>
      <c r="BA11" s="48" t="s">
        <v>675</v>
      </c>
      <c r="BB11" s="48" t="s">
        <v>674</v>
      </c>
      <c r="BC11" s="48" t="s">
        <v>157</v>
      </c>
      <c r="BD11" s="48" t="s">
        <v>152</v>
      </c>
      <c r="BE11" s="48" t="s">
        <v>170</v>
      </c>
      <c r="BF11" s="48" t="s">
        <v>673</v>
      </c>
      <c r="BG11" s="48" t="s">
        <v>672</v>
      </c>
      <c r="BH11" s="48" t="s">
        <v>671</v>
      </c>
      <c r="BI11" s="48" t="s">
        <v>670</v>
      </c>
      <c r="BJ11" s="48" t="s">
        <v>208</v>
      </c>
      <c r="BK11" s="48" t="s">
        <v>155</v>
      </c>
      <c r="BL11" s="48" t="s">
        <v>245</v>
      </c>
      <c r="BM11" s="48" t="s">
        <v>248</v>
      </c>
      <c r="BN11" s="48" t="s">
        <v>242</v>
      </c>
      <c r="BO11" s="48" t="s">
        <v>233</v>
      </c>
      <c r="BP11" s="48" t="s">
        <v>226</v>
      </c>
      <c r="BQ11" s="48" t="s">
        <v>230</v>
      </c>
      <c r="BR11" s="48" t="s">
        <v>239</v>
      </c>
      <c r="BS11" s="48" t="s">
        <v>222</v>
      </c>
      <c r="BT11" s="48" t="s">
        <v>236</v>
      </c>
      <c r="BU11" s="48" t="s">
        <v>277</v>
      </c>
      <c r="BV11" s="48" t="s">
        <v>254</v>
      </c>
      <c r="BW11" s="48" t="s">
        <v>257</v>
      </c>
      <c r="BX11" s="48" t="s">
        <v>273</v>
      </c>
      <c r="BY11" s="48" t="s">
        <v>267</v>
      </c>
      <c r="BZ11" s="48" t="s">
        <v>270</v>
      </c>
      <c r="CA11" s="48" t="s">
        <v>262</v>
      </c>
      <c r="CB11" s="48" t="s">
        <v>265</v>
      </c>
      <c r="CC11" s="48" t="s">
        <v>280</v>
      </c>
      <c r="CD11" s="48" t="s">
        <v>251</v>
      </c>
      <c r="CE11" s="48" t="s">
        <v>342</v>
      </c>
      <c r="CF11" s="48" t="s">
        <v>349</v>
      </c>
      <c r="CG11" s="48" t="s">
        <v>345</v>
      </c>
      <c r="CH11" s="48" t="s">
        <v>304</v>
      </c>
      <c r="CI11" s="48" t="s">
        <v>307</v>
      </c>
      <c r="CJ11" s="48" t="s">
        <v>321</v>
      </c>
      <c r="CK11" s="48" t="s">
        <v>310</v>
      </c>
      <c r="CL11" s="48" t="s">
        <v>339</v>
      </c>
      <c r="CM11" s="48" t="s">
        <v>330</v>
      </c>
      <c r="CN11" s="48" t="s">
        <v>326</v>
      </c>
      <c r="CO11" s="48" t="s">
        <v>323</v>
      </c>
      <c r="CP11" s="48" t="s">
        <v>313</v>
      </c>
      <c r="CQ11" s="48" t="s">
        <v>336</v>
      </c>
      <c r="CR11" s="48" t="s">
        <v>333</v>
      </c>
      <c r="CS11" s="48" t="s">
        <v>300</v>
      </c>
      <c r="CT11" s="48" t="s">
        <v>291</v>
      </c>
      <c r="CU11" s="48" t="s">
        <v>288</v>
      </c>
      <c r="CV11" s="48" t="s">
        <v>283</v>
      </c>
      <c r="CW11" s="48" t="s">
        <v>286</v>
      </c>
      <c r="CX11" s="48" t="s">
        <v>294</v>
      </c>
      <c r="CY11" s="48" t="s">
        <v>296</v>
      </c>
      <c r="CZ11" s="48" t="s">
        <v>669</v>
      </c>
      <c r="DA11" s="48" t="s">
        <v>357</v>
      </c>
      <c r="DB11" s="48" t="s">
        <v>371</v>
      </c>
      <c r="DC11" s="48" t="s">
        <v>353</v>
      </c>
      <c r="DD11" s="48" t="s">
        <v>360</v>
      </c>
      <c r="DE11" s="48" t="s">
        <v>368</v>
      </c>
      <c r="DF11" s="48" t="s">
        <v>387</v>
      </c>
      <c r="DG11" s="48" t="s">
        <v>668</v>
      </c>
      <c r="DH11" s="48" t="s">
        <v>667</v>
      </c>
      <c r="DI11" s="48" t="s">
        <v>666</v>
      </c>
      <c r="DJ11" s="48" t="s">
        <v>665</v>
      </c>
      <c r="DK11" s="48" t="s">
        <v>377</v>
      </c>
      <c r="DL11" s="48" t="s">
        <v>380</v>
      </c>
      <c r="DM11" s="48" t="s">
        <v>385</v>
      </c>
      <c r="DN11" s="48" t="s">
        <v>374</v>
      </c>
      <c r="DO11" s="48" t="s">
        <v>462</v>
      </c>
      <c r="DP11" s="48" t="s">
        <v>422</v>
      </c>
      <c r="DQ11" s="48" t="s">
        <v>425</v>
      </c>
      <c r="DR11" s="48" t="s">
        <v>420</v>
      </c>
      <c r="DS11" s="48" t="s">
        <v>455</v>
      </c>
      <c r="DT11" s="48" t="s">
        <v>427</v>
      </c>
      <c r="DU11" s="48" t="s">
        <v>453</v>
      </c>
      <c r="DV11" s="48" t="s">
        <v>458</v>
      </c>
      <c r="DW11" s="48" t="s">
        <v>433</v>
      </c>
      <c r="DX11" s="48" t="s">
        <v>451</v>
      </c>
      <c r="DY11" s="48" t="s">
        <v>466</v>
      </c>
      <c r="DZ11" s="48" t="s">
        <v>447</v>
      </c>
      <c r="EA11" s="48" t="s">
        <v>465</v>
      </c>
      <c r="EB11" s="48" t="s">
        <v>664</v>
      </c>
      <c r="EC11" s="48" t="s">
        <v>663</v>
      </c>
      <c r="ED11" s="48" t="s">
        <v>662</v>
      </c>
      <c r="EE11" s="48" t="s">
        <v>661</v>
      </c>
      <c r="EF11" s="48" t="s">
        <v>660</v>
      </c>
      <c r="EG11" s="48" t="s">
        <v>659</v>
      </c>
      <c r="EH11" s="48" t="s">
        <v>658</v>
      </c>
      <c r="EI11" s="48" t="s">
        <v>657</v>
      </c>
      <c r="EJ11" s="48" t="s">
        <v>461</v>
      </c>
      <c r="EK11" s="48" t="s">
        <v>449</v>
      </c>
      <c r="EL11" s="48" t="s">
        <v>473</v>
      </c>
      <c r="EM11" s="48" t="s">
        <v>469</v>
      </c>
      <c r="EN11" s="48" t="s">
        <v>485</v>
      </c>
      <c r="EO11" s="48" t="s">
        <v>487</v>
      </c>
      <c r="EP11" s="48" t="s">
        <v>480</v>
      </c>
      <c r="EQ11" s="48" t="s">
        <v>476</v>
      </c>
      <c r="ER11" s="48" t="s">
        <v>478</v>
      </c>
      <c r="ES11" s="48" t="s">
        <v>483</v>
      </c>
      <c r="ET11" s="48" t="s">
        <v>490</v>
      </c>
      <c r="EU11" s="48" t="s">
        <v>417</v>
      </c>
      <c r="EV11" s="48" t="s">
        <v>393</v>
      </c>
      <c r="EW11" s="48" t="s">
        <v>414</v>
      </c>
      <c r="EX11" s="48" t="s">
        <v>396</v>
      </c>
      <c r="EY11" s="48" t="s">
        <v>399</v>
      </c>
      <c r="EZ11" s="48" t="s">
        <v>656</v>
      </c>
      <c r="FA11" s="48" t="s">
        <v>655</v>
      </c>
      <c r="FB11" s="48" t="s">
        <v>390</v>
      </c>
      <c r="FC11" s="48" t="s">
        <v>403</v>
      </c>
      <c r="FD11" s="48" t="s">
        <v>411</v>
      </c>
      <c r="FE11" s="48" t="s">
        <v>654</v>
      </c>
      <c r="FF11" s="48" t="s">
        <v>653</v>
      </c>
      <c r="FG11" s="48" t="s">
        <v>652</v>
      </c>
      <c r="FL11" s="46"/>
      <c r="GC11" s="46"/>
    </row>
    <row r="12" spans="1:219" ht="39.950000000000003" customHeight="1" thickBot="1" x14ac:dyDescent="0.25">
      <c r="A12" s="117"/>
      <c r="B12" s="47" t="s">
        <v>651</v>
      </c>
      <c r="C12" s="47" t="s">
        <v>581</v>
      </c>
      <c r="D12" s="47" t="s">
        <v>650</v>
      </c>
      <c r="E12" s="47" t="s">
        <v>649</v>
      </c>
      <c r="F12" s="47" t="s">
        <v>648</v>
      </c>
      <c r="G12" s="47" t="s">
        <v>647</v>
      </c>
      <c r="H12" s="47" t="s">
        <v>646</v>
      </c>
      <c r="I12" s="47" t="s">
        <v>645</v>
      </c>
      <c r="J12" s="47" t="s">
        <v>644</v>
      </c>
      <c r="K12" s="47" t="s">
        <v>555</v>
      </c>
      <c r="L12" s="47" t="s">
        <v>585</v>
      </c>
      <c r="M12" s="47" t="s">
        <v>643</v>
      </c>
      <c r="N12" s="47" t="s">
        <v>610</v>
      </c>
      <c r="O12" s="47" t="s">
        <v>642</v>
      </c>
      <c r="P12" s="47" t="s">
        <v>641</v>
      </c>
      <c r="Q12" s="47" t="s">
        <v>629</v>
      </c>
      <c r="R12" s="47" t="s">
        <v>610</v>
      </c>
      <c r="S12" s="47" t="s">
        <v>610</v>
      </c>
      <c r="T12" s="47" t="s">
        <v>640</v>
      </c>
      <c r="U12" s="47" t="s">
        <v>637</v>
      </c>
      <c r="V12" s="47" t="s">
        <v>576</v>
      </c>
      <c r="W12" s="47" t="s">
        <v>639</v>
      </c>
      <c r="X12" s="47" t="s">
        <v>636</v>
      </c>
      <c r="Y12" s="47" t="s">
        <v>638</v>
      </c>
      <c r="Z12" s="47" t="s">
        <v>638</v>
      </c>
      <c r="AA12" s="47" t="s">
        <v>610</v>
      </c>
      <c r="AB12" s="47" t="s">
        <v>637</v>
      </c>
      <c r="AC12" s="47" t="s">
        <v>636</v>
      </c>
      <c r="AD12" s="47" t="s">
        <v>592</v>
      </c>
      <c r="AE12" s="47" t="s">
        <v>635</v>
      </c>
      <c r="AF12" s="47" t="s">
        <v>634</v>
      </c>
      <c r="AG12" s="47" t="s">
        <v>606</v>
      </c>
      <c r="AH12" s="47" t="s">
        <v>633</v>
      </c>
      <c r="AI12" s="47" t="s">
        <v>632</v>
      </c>
      <c r="AJ12" s="47" t="s">
        <v>581</v>
      </c>
      <c r="AK12" s="47" t="s">
        <v>631</v>
      </c>
      <c r="AL12" s="47" t="s">
        <v>630</v>
      </c>
      <c r="AM12" s="47" t="s">
        <v>629</v>
      </c>
      <c r="AN12" s="47" t="s">
        <v>628</v>
      </c>
      <c r="AO12" s="47" t="s">
        <v>627</v>
      </c>
      <c r="AP12" s="47" t="s">
        <v>626</v>
      </c>
      <c r="AQ12" s="47" t="s">
        <v>625</v>
      </c>
      <c r="AR12" s="47" t="s">
        <v>624</v>
      </c>
      <c r="AS12" s="47" t="s">
        <v>623</v>
      </c>
      <c r="AT12" s="47" t="s">
        <v>573</v>
      </c>
      <c r="AU12" s="47" t="s">
        <v>573</v>
      </c>
      <c r="AV12" s="47" t="s">
        <v>622</v>
      </c>
      <c r="AW12" s="47" t="s">
        <v>584</v>
      </c>
      <c r="AX12" s="47" t="s">
        <v>557</v>
      </c>
      <c r="AY12" s="47" t="s">
        <v>621</v>
      </c>
      <c r="AZ12" s="47" t="s">
        <v>620</v>
      </c>
      <c r="BA12" s="47" t="s">
        <v>619</v>
      </c>
      <c r="BB12" s="47" t="s">
        <v>619</v>
      </c>
      <c r="BC12" s="47" t="s">
        <v>586</v>
      </c>
      <c r="BD12" s="47" t="s">
        <v>618</v>
      </c>
      <c r="BE12" s="47" t="s">
        <v>581</v>
      </c>
      <c r="BF12" s="47" t="s">
        <v>594</v>
      </c>
      <c r="BG12" s="47" t="s">
        <v>594</v>
      </c>
      <c r="BH12" s="47" t="s">
        <v>617</v>
      </c>
      <c r="BI12" s="47" t="s">
        <v>617</v>
      </c>
      <c r="BJ12" s="47" t="s">
        <v>616</v>
      </c>
      <c r="BK12" s="47" t="s">
        <v>561</v>
      </c>
      <c r="BL12" s="47" t="s">
        <v>615</v>
      </c>
      <c r="BM12" s="47" t="s">
        <v>550</v>
      </c>
      <c r="BN12" s="47" t="s">
        <v>614</v>
      </c>
      <c r="BO12" s="47" t="s">
        <v>613</v>
      </c>
      <c r="BP12" s="47" t="s">
        <v>612</v>
      </c>
      <c r="BQ12" s="47" t="s">
        <v>611</v>
      </c>
      <c r="BR12" s="47" t="s">
        <v>610</v>
      </c>
      <c r="BS12" s="47" t="s">
        <v>609</v>
      </c>
      <c r="BT12" s="47" t="s">
        <v>608</v>
      </c>
      <c r="BU12" s="47" t="s">
        <v>564</v>
      </c>
      <c r="BV12" s="47" t="s">
        <v>599</v>
      </c>
      <c r="BW12" s="47" t="s">
        <v>559</v>
      </c>
      <c r="BX12" s="47" t="s">
        <v>562</v>
      </c>
      <c r="BY12" s="47" t="s">
        <v>598</v>
      </c>
      <c r="BZ12" s="47" t="s">
        <v>607</v>
      </c>
      <c r="CA12" s="47" t="s">
        <v>606</v>
      </c>
      <c r="CB12" s="47" t="s">
        <v>574</v>
      </c>
      <c r="CC12" s="47" t="s">
        <v>605</v>
      </c>
      <c r="CD12" s="47" t="s">
        <v>579</v>
      </c>
      <c r="CE12" s="47" t="s">
        <v>604</v>
      </c>
      <c r="CF12" s="47" t="s">
        <v>603</v>
      </c>
      <c r="CG12" s="47" t="s">
        <v>602</v>
      </c>
      <c r="CH12" s="47" t="s">
        <v>601</v>
      </c>
      <c r="CI12" s="47" t="s">
        <v>600</v>
      </c>
      <c r="CJ12" s="47" t="s">
        <v>567</v>
      </c>
      <c r="CK12" s="47" t="s">
        <v>599</v>
      </c>
      <c r="CL12" s="47" t="s">
        <v>598</v>
      </c>
      <c r="CM12" s="47" t="s">
        <v>573</v>
      </c>
      <c r="CN12" s="47" t="s">
        <v>597</v>
      </c>
      <c r="CO12" s="47" t="s">
        <v>596</v>
      </c>
      <c r="CP12" s="47" t="s">
        <v>595</v>
      </c>
      <c r="CQ12" s="47" t="s">
        <v>561</v>
      </c>
      <c r="CR12" s="47" t="s">
        <v>594</v>
      </c>
      <c r="CS12" s="47" t="s">
        <v>593</v>
      </c>
      <c r="CT12" s="47" t="s">
        <v>564</v>
      </c>
      <c r="CU12" s="47" t="s">
        <v>559</v>
      </c>
      <c r="CV12" s="47" t="s">
        <v>592</v>
      </c>
      <c r="CW12" s="47" t="s">
        <v>591</v>
      </c>
      <c r="CX12" s="47" t="s">
        <v>586</v>
      </c>
      <c r="CY12" s="47" t="s">
        <v>590</v>
      </c>
      <c r="CZ12" s="47" t="s">
        <v>45</v>
      </c>
      <c r="DA12" s="47" t="s">
        <v>589</v>
      </c>
      <c r="DB12" s="47" t="s">
        <v>588</v>
      </c>
      <c r="DC12" s="47" t="s">
        <v>587</v>
      </c>
      <c r="DD12" s="47" t="s">
        <v>586</v>
      </c>
      <c r="DE12" s="47" t="s">
        <v>573</v>
      </c>
      <c r="DF12" s="47" t="s">
        <v>585</v>
      </c>
      <c r="DG12" s="47" t="s">
        <v>584</v>
      </c>
      <c r="DH12" s="47" t="s">
        <v>584</v>
      </c>
      <c r="DI12" s="47" t="s">
        <v>583</v>
      </c>
      <c r="DJ12" s="47" t="s">
        <v>583</v>
      </c>
      <c r="DK12" s="47" t="s">
        <v>581</v>
      </c>
      <c r="DL12" s="47" t="s">
        <v>573</v>
      </c>
      <c r="DM12" s="47" t="s">
        <v>582</v>
      </c>
      <c r="DN12" s="47" t="s">
        <v>581</v>
      </c>
      <c r="DO12" s="47" t="s">
        <v>580</v>
      </c>
      <c r="DP12" s="47" t="s">
        <v>573</v>
      </c>
      <c r="DQ12" s="47" t="s">
        <v>579</v>
      </c>
      <c r="DR12" s="47" t="s">
        <v>578</v>
      </c>
      <c r="DS12" s="47" t="s">
        <v>562</v>
      </c>
      <c r="DT12" s="47" t="s">
        <v>577</v>
      </c>
      <c r="DU12" s="47" t="s">
        <v>576</v>
      </c>
      <c r="DV12" s="47" t="s">
        <v>562</v>
      </c>
      <c r="DW12" s="47" t="s">
        <v>575</v>
      </c>
      <c r="DX12" s="47" t="s">
        <v>574</v>
      </c>
      <c r="DY12" s="47" t="s">
        <v>573</v>
      </c>
      <c r="DZ12" s="47" t="s">
        <v>572</v>
      </c>
      <c r="EA12" s="47" t="s">
        <v>571</v>
      </c>
      <c r="EB12" s="47" t="s">
        <v>570</v>
      </c>
      <c r="EC12" s="47" t="s">
        <v>570</v>
      </c>
      <c r="ED12" s="47" t="s">
        <v>553</v>
      </c>
      <c r="EE12" s="47" t="s">
        <v>553</v>
      </c>
      <c r="EF12" s="47" t="s">
        <v>553</v>
      </c>
      <c r="EG12" s="47" t="s">
        <v>553</v>
      </c>
      <c r="EH12" s="47" t="s">
        <v>569</v>
      </c>
      <c r="EI12" s="47" t="s">
        <v>569</v>
      </c>
      <c r="EJ12" s="47" t="s">
        <v>568</v>
      </c>
      <c r="EK12" s="47" t="s">
        <v>567</v>
      </c>
      <c r="EL12" s="47" t="s">
        <v>566</v>
      </c>
      <c r="EM12" s="47" t="s">
        <v>565</v>
      </c>
      <c r="EN12" s="47" t="s">
        <v>564</v>
      </c>
      <c r="EO12" s="47" t="s">
        <v>563</v>
      </c>
      <c r="EP12" s="47" t="s">
        <v>562</v>
      </c>
      <c r="EQ12" s="47" t="s">
        <v>561</v>
      </c>
      <c r="ER12" s="47" t="s">
        <v>561</v>
      </c>
      <c r="ES12" s="47" t="s">
        <v>560</v>
      </c>
      <c r="ET12" s="47" t="s">
        <v>559</v>
      </c>
      <c r="EU12" s="47" t="s">
        <v>558</v>
      </c>
      <c r="EV12" s="47" t="s">
        <v>557</v>
      </c>
      <c r="EW12" s="47" t="s">
        <v>556</v>
      </c>
      <c r="EX12" s="47" t="s">
        <v>555</v>
      </c>
      <c r="EY12" s="47" t="s">
        <v>554</v>
      </c>
      <c r="EZ12" s="47" t="s">
        <v>553</v>
      </c>
      <c r="FA12" s="47" t="s">
        <v>553</v>
      </c>
      <c r="FB12" s="47" t="s">
        <v>552</v>
      </c>
      <c r="FC12" s="47" t="s">
        <v>551</v>
      </c>
      <c r="FD12" s="47" t="s">
        <v>550</v>
      </c>
      <c r="FE12" s="47" t="s">
        <v>45</v>
      </c>
      <c r="FF12" s="47" t="s">
        <v>45</v>
      </c>
      <c r="FG12" s="47" t="s">
        <v>45</v>
      </c>
      <c r="FL12" s="46"/>
      <c r="GC12" s="46"/>
    </row>
    <row r="13" spans="1:219" s="43" customFormat="1" ht="39.950000000000003" customHeight="1" x14ac:dyDescent="0.25">
      <c r="A13" s="45" t="s">
        <v>549</v>
      </c>
      <c r="B13" s="39">
        <v>32</v>
      </c>
      <c r="C13" s="39">
        <v>70</v>
      </c>
      <c r="D13" s="39">
        <v>33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386</v>
      </c>
      <c r="K13" s="39">
        <v>0</v>
      </c>
      <c r="L13" s="39">
        <v>0</v>
      </c>
      <c r="M13" s="39">
        <v>17</v>
      </c>
      <c r="N13" s="39">
        <v>17</v>
      </c>
      <c r="O13" s="39">
        <v>131</v>
      </c>
      <c r="P13" s="39">
        <v>127</v>
      </c>
      <c r="Q13" s="39">
        <v>294</v>
      </c>
      <c r="R13" s="39">
        <v>55</v>
      </c>
      <c r="S13" s="39">
        <v>0</v>
      </c>
      <c r="T13" s="39">
        <v>90</v>
      </c>
      <c r="U13" s="39">
        <v>0</v>
      </c>
      <c r="V13" s="39">
        <v>16</v>
      </c>
      <c r="W13" s="39">
        <v>300</v>
      </c>
      <c r="X13" s="39">
        <v>299</v>
      </c>
      <c r="Y13" s="39">
        <v>250</v>
      </c>
      <c r="Z13" s="39">
        <v>0</v>
      </c>
      <c r="AA13" s="39">
        <v>0</v>
      </c>
      <c r="AB13" s="39">
        <v>0</v>
      </c>
      <c r="AC13" s="39">
        <v>250</v>
      </c>
      <c r="AD13" s="39">
        <v>0</v>
      </c>
      <c r="AE13" s="39">
        <v>0</v>
      </c>
      <c r="AF13" s="39">
        <v>0</v>
      </c>
      <c r="AG13" s="39">
        <v>160</v>
      </c>
      <c r="AH13" s="39">
        <v>9</v>
      </c>
      <c r="AI13" s="39">
        <v>22</v>
      </c>
      <c r="AJ13" s="39">
        <v>0</v>
      </c>
      <c r="AK13" s="39">
        <v>300</v>
      </c>
      <c r="AL13" s="39">
        <v>61</v>
      </c>
      <c r="AM13" s="39">
        <v>65</v>
      </c>
      <c r="AN13" s="39">
        <v>56</v>
      </c>
      <c r="AO13" s="39">
        <v>0</v>
      </c>
      <c r="AP13" s="39">
        <v>0</v>
      </c>
      <c r="AQ13" s="39">
        <v>102</v>
      </c>
      <c r="AR13" s="39">
        <v>53</v>
      </c>
      <c r="AS13" s="39">
        <v>54</v>
      </c>
      <c r="AT13" s="39">
        <v>100</v>
      </c>
      <c r="AU13" s="39">
        <v>88</v>
      </c>
      <c r="AV13" s="39">
        <v>0</v>
      </c>
      <c r="AW13" s="39">
        <v>40</v>
      </c>
      <c r="AX13" s="39">
        <v>110</v>
      </c>
      <c r="AY13" s="39">
        <v>12</v>
      </c>
      <c r="AZ13" s="39">
        <v>552</v>
      </c>
      <c r="BA13" s="39">
        <v>160</v>
      </c>
      <c r="BB13" s="39">
        <v>0</v>
      </c>
      <c r="BC13" s="39">
        <v>50</v>
      </c>
      <c r="BD13" s="39">
        <v>25</v>
      </c>
      <c r="BE13" s="39">
        <v>87</v>
      </c>
      <c r="BF13" s="39">
        <v>146</v>
      </c>
      <c r="BG13" s="39">
        <v>0</v>
      </c>
      <c r="BH13" s="39">
        <v>0</v>
      </c>
      <c r="BI13" s="39">
        <v>0</v>
      </c>
      <c r="BJ13" s="39">
        <v>1226</v>
      </c>
      <c r="BK13" s="39">
        <v>0</v>
      </c>
      <c r="BL13" s="39">
        <v>51</v>
      </c>
      <c r="BM13" s="39">
        <v>135</v>
      </c>
      <c r="BN13" s="39">
        <v>180</v>
      </c>
      <c r="BO13" s="39">
        <v>0</v>
      </c>
      <c r="BP13" s="39">
        <v>0</v>
      </c>
      <c r="BQ13" s="39">
        <v>345</v>
      </c>
      <c r="BR13" s="39">
        <v>52</v>
      </c>
      <c r="BS13" s="39">
        <v>214</v>
      </c>
      <c r="BT13" s="39">
        <v>36</v>
      </c>
      <c r="BU13" s="39">
        <v>51</v>
      </c>
      <c r="BV13" s="39">
        <v>70</v>
      </c>
      <c r="BW13" s="39">
        <v>108</v>
      </c>
      <c r="BX13" s="39">
        <v>18</v>
      </c>
      <c r="BY13" s="39">
        <v>20</v>
      </c>
      <c r="BZ13" s="39">
        <v>114</v>
      </c>
      <c r="CA13" s="39">
        <v>52</v>
      </c>
      <c r="CB13" s="39">
        <v>52.2</v>
      </c>
      <c r="CC13" s="39">
        <v>0</v>
      </c>
      <c r="CD13" s="39">
        <v>37</v>
      </c>
      <c r="CE13" s="39">
        <v>320</v>
      </c>
      <c r="CF13" s="39">
        <v>0</v>
      </c>
      <c r="CG13" s="39">
        <v>331</v>
      </c>
      <c r="CH13" s="39">
        <v>36</v>
      </c>
      <c r="CI13" s="39">
        <v>30</v>
      </c>
      <c r="CJ13" s="39">
        <v>0</v>
      </c>
      <c r="CK13" s="39">
        <v>153</v>
      </c>
      <c r="CL13" s="39">
        <v>8</v>
      </c>
      <c r="CM13" s="39">
        <v>0</v>
      </c>
      <c r="CN13" s="39">
        <v>80</v>
      </c>
      <c r="CO13" s="39">
        <v>20</v>
      </c>
      <c r="CP13" s="39">
        <v>0</v>
      </c>
      <c r="CQ13" s="39">
        <v>16</v>
      </c>
      <c r="CR13" s="39">
        <v>170</v>
      </c>
      <c r="CS13" s="39">
        <v>17</v>
      </c>
      <c r="CT13" s="39">
        <v>47</v>
      </c>
      <c r="CU13" s="39">
        <v>137</v>
      </c>
      <c r="CV13" s="39">
        <v>22</v>
      </c>
      <c r="CW13" s="39">
        <v>0</v>
      </c>
      <c r="CX13" s="39">
        <v>0</v>
      </c>
      <c r="CY13" s="39">
        <v>12</v>
      </c>
      <c r="CZ13" s="39">
        <v>8779.2000000000007</v>
      </c>
      <c r="DA13" s="39">
        <v>780</v>
      </c>
      <c r="DB13" s="39">
        <v>262</v>
      </c>
      <c r="DC13" s="39">
        <v>0</v>
      </c>
      <c r="DD13" s="39">
        <v>0</v>
      </c>
      <c r="DE13" s="39">
        <v>34</v>
      </c>
      <c r="DF13" s="39">
        <v>0</v>
      </c>
      <c r="DG13" s="39">
        <v>0</v>
      </c>
      <c r="DH13" s="39">
        <v>0</v>
      </c>
      <c r="DI13" s="39">
        <v>0</v>
      </c>
      <c r="DJ13" s="39">
        <v>0</v>
      </c>
      <c r="DK13" s="39">
        <v>0</v>
      </c>
      <c r="DL13" s="39">
        <v>0</v>
      </c>
      <c r="DM13" s="39">
        <v>1023</v>
      </c>
      <c r="DN13" s="39">
        <v>17</v>
      </c>
      <c r="DO13" s="39">
        <v>1363.96</v>
      </c>
      <c r="DP13" s="39">
        <v>0</v>
      </c>
      <c r="DQ13" s="39">
        <v>46</v>
      </c>
      <c r="DR13" s="39">
        <v>0</v>
      </c>
      <c r="DS13" s="39">
        <v>113</v>
      </c>
      <c r="DT13" s="39">
        <v>17</v>
      </c>
      <c r="DU13" s="39">
        <v>93</v>
      </c>
      <c r="DV13" s="39">
        <v>113</v>
      </c>
      <c r="DW13" s="39">
        <v>36</v>
      </c>
      <c r="DX13" s="39">
        <v>42</v>
      </c>
      <c r="DY13" s="39">
        <v>0</v>
      </c>
      <c r="DZ13" s="39">
        <v>0</v>
      </c>
      <c r="EA13" s="39">
        <v>0</v>
      </c>
      <c r="EB13" s="39">
        <v>200</v>
      </c>
      <c r="EC13" s="39">
        <v>0</v>
      </c>
      <c r="ED13" s="39">
        <v>197</v>
      </c>
      <c r="EE13" s="39">
        <v>0</v>
      </c>
      <c r="EF13" s="39">
        <v>0</v>
      </c>
      <c r="EG13" s="39">
        <v>0</v>
      </c>
      <c r="EH13" s="39">
        <v>404</v>
      </c>
      <c r="EI13" s="39">
        <v>0</v>
      </c>
      <c r="EJ13" s="39">
        <v>0</v>
      </c>
      <c r="EK13" s="39">
        <v>0</v>
      </c>
      <c r="EL13" s="39">
        <v>170</v>
      </c>
      <c r="EM13" s="39">
        <v>50</v>
      </c>
      <c r="EN13" s="39">
        <v>115</v>
      </c>
      <c r="EO13" s="39">
        <v>0</v>
      </c>
      <c r="EP13" s="39">
        <v>113</v>
      </c>
      <c r="EQ13" s="39">
        <v>0</v>
      </c>
      <c r="ER13" s="39">
        <v>0</v>
      </c>
      <c r="ES13" s="39">
        <v>0</v>
      </c>
      <c r="ET13" s="39">
        <v>0</v>
      </c>
      <c r="EU13" s="39">
        <v>0</v>
      </c>
      <c r="EV13" s="39">
        <v>48</v>
      </c>
      <c r="EW13" s="39">
        <v>307</v>
      </c>
      <c r="EX13" s="39">
        <v>10</v>
      </c>
      <c r="EY13" s="39">
        <v>115</v>
      </c>
      <c r="EZ13" s="39">
        <v>220</v>
      </c>
      <c r="FA13" s="39">
        <v>0</v>
      </c>
      <c r="FB13" s="39">
        <v>452</v>
      </c>
      <c r="FC13" s="39">
        <v>1244</v>
      </c>
      <c r="FD13" s="39">
        <v>0</v>
      </c>
      <c r="FE13" s="39">
        <v>7584.96</v>
      </c>
      <c r="FF13" s="39">
        <v>16364.16</v>
      </c>
      <c r="FG13" s="39">
        <v>78.180000000000007</v>
      </c>
      <c r="GA13" s="38"/>
    </row>
    <row r="14" spans="1:219" s="43" customFormat="1" ht="39.950000000000003" customHeight="1" x14ac:dyDescent="0.25">
      <c r="A14" s="44" t="s">
        <v>548</v>
      </c>
      <c r="B14" s="39">
        <v>8</v>
      </c>
      <c r="C14" s="39">
        <v>34</v>
      </c>
      <c r="D14" s="39">
        <v>16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368</v>
      </c>
      <c r="K14" s="39">
        <v>0</v>
      </c>
      <c r="L14" s="39">
        <v>0</v>
      </c>
      <c r="M14" s="39">
        <v>17</v>
      </c>
      <c r="N14" s="39">
        <v>17</v>
      </c>
      <c r="O14" s="39">
        <v>130</v>
      </c>
      <c r="P14" s="39">
        <v>112</v>
      </c>
      <c r="Q14" s="39">
        <v>294</v>
      </c>
      <c r="R14" s="39">
        <v>55</v>
      </c>
      <c r="S14" s="39">
        <v>0</v>
      </c>
      <c r="T14" s="39">
        <v>54</v>
      </c>
      <c r="U14" s="39">
        <v>0</v>
      </c>
      <c r="V14" s="39">
        <v>16</v>
      </c>
      <c r="W14" s="39">
        <v>350</v>
      </c>
      <c r="X14" s="39">
        <v>292</v>
      </c>
      <c r="Y14" s="39">
        <v>250</v>
      </c>
      <c r="Z14" s="39">
        <v>0</v>
      </c>
      <c r="AA14" s="39">
        <v>35</v>
      </c>
      <c r="AB14" s="39">
        <v>0</v>
      </c>
      <c r="AC14" s="39">
        <v>250</v>
      </c>
      <c r="AD14" s="39">
        <v>0</v>
      </c>
      <c r="AE14" s="39">
        <v>0</v>
      </c>
      <c r="AF14" s="39">
        <v>0</v>
      </c>
      <c r="AG14" s="39">
        <v>160</v>
      </c>
      <c r="AH14" s="39">
        <v>9</v>
      </c>
      <c r="AI14" s="39">
        <v>22</v>
      </c>
      <c r="AJ14" s="39">
        <v>0</v>
      </c>
      <c r="AK14" s="39">
        <v>300</v>
      </c>
      <c r="AL14" s="39">
        <v>72</v>
      </c>
      <c r="AM14" s="39">
        <v>65</v>
      </c>
      <c r="AN14" s="39">
        <v>57</v>
      </c>
      <c r="AO14" s="39">
        <v>0</v>
      </c>
      <c r="AP14" s="39">
        <v>0</v>
      </c>
      <c r="AQ14" s="39">
        <v>102</v>
      </c>
      <c r="AR14" s="39">
        <v>53</v>
      </c>
      <c r="AS14" s="39">
        <v>54</v>
      </c>
      <c r="AT14" s="39">
        <v>100</v>
      </c>
      <c r="AU14" s="39">
        <v>88</v>
      </c>
      <c r="AV14" s="39">
        <v>0</v>
      </c>
      <c r="AW14" s="39">
        <v>40</v>
      </c>
      <c r="AX14" s="39">
        <v>110</v>
      </c>
      <c r="AY14" s="39">
        <v>12</v>
      </c>
      <c r="AZ14" s="39">
        <v>550</v>
      </c>
      <c r="BA14" s="39">
        <v>160</v>
      </c>
      <c r="BB14" s="39">
        <v>0</v>
      </c>
      <c r="BC14" s="39">
        <v>50</v>
      </c>
      <c r="BD14" s="39">
        <v>25.5</v>
      </c>
      <c r="BE14" s="39">
        <v>87</v>
      </c>
      <c r="BF14" s="39">
        <v>146</v>
      </c>
      <c r="BG14" s="39">
        <v>0</v>
      </c>
      <c r="BH14" s="39">
        <v>0</v>
      </c>
      <c r="BI14" s="39">
        <v>0</v>
      </c>
      <c r="BJ14" s="39">
        <v>1224</v>
      </c>
      <c r="BK14" s="39">
        <v>0</v>
      </c>
      <c r="BL14" s="39">
        <v>51</v>
      </c>
      <c r="BM14" s="39">
        <v>135</v>
      </c>
      <c r="BN14" s="39">
        <v>180</v>
      </c>
      <c r="BO14" s="39">
        <v>0</v>
      </c>
      <c r="BP14" s="39">
        <v>0</v>
      </c>
      <c r="BQ14" s="39">
        <v>345</v>
      </c>
      <c r="BR14" s="39">
        <v>51</v>
      </c>
      <c r="BS14" s="39">
        <v>215</v>
      </c>
      <c r="BT14" s="39">
        <v>36</v>
      </c>
      <c r="BU14" s="39">
        <v>50</v>
      </c>
      <c r="BV14" s="39">
        <v>50</v>
      </c>
      <c r="BW14" s="39">
        <v>106</v>
      </c>
      <c r="BX14" s="39">
        <v>9</v>
      </c>
      <c r="BY14" s="39">
        <v>20</v>
      </c>
      <c r="BZ14" s="39">
        <v>114</v>
      </c>
      <c r="CA14" s="39">
        <v>52</v>
      </c>
      <c r="CB14" s="39">
        <v>52.2</v>
      </c>
      <c r="CC14" s="39">
        <v>0</v>
      </c>
      <c r="CD14" s="39">
        <v>37</v>
      </c>
      <c r="CE14" s="39">
        <v>310</v>
      </c>
      <c r="CF14" s="39">
        <v>0</v>
      </c>
      <c r="CG14" s="39">
        <v>322</v>
      </c>
      <c r="CH14" s="39">
        <v>36</v>
      </c>
      <c r="CI14" s="39">
        <v>30</v>
      </c>
      <c r="CJ14" s="39">
        <v>0</v>
      </c>
      <c r="CK14" s="39">
        <v>150</v>
      </c>
      <c r="CL14" s="39">
        <v>8</v>
      </c>
      <c r="CM14" s="39">
        <v>0</v>
      </c>
      <c r="CN14" s="39">
        <v>80</v>
      </c>
      <c r="CO14" s="39">
        <v>25</v>
      </c>
      <c r="CP14" s="39">
        <v>0</v>
      </c>
      <c r="CQ14" s="39">
        <v>16</v>
      </c>
      <c r="CR14" s="39">
        <v>170</v>
      </c>
      <c r="CS14" s="39">
        <v>0</v>
      </c>
      <c r="CT14" s="39">
        <v>47</v>
      </c>
      <c r="CU14" s="39">
        <v>91</v>
      </c>
      <c r="CV14" s="39">
        <v>22</v>
      </c>
      <c r="CW14" s="39">
        <v>0</v>
      </c>
      <c r="CX14" s="39">
        <v>0</v>
      </c>
      <c r="CY14" s="39">
        <v>12</v>
      </c>
      <c r="CZ14" s="39">
        <v>8606.7000000000007</v>
      </c>
      <c r="DA14" s="39">
        <v>921</v>
      </c>
      <c r="DB14" s="39">
        <v>262</v>
      </c>
      <c r="DC14" s="39">
        <v>0</v>
      </c>
      <c r="DD14" s="39">
        <v>0</v>
      </c>
      <c r="DE14" s="39">
        <v>0</v>
      </c>
      <c r="DF14" s="39">
        <v>0</v>
      </c>
      <c r="DG14" s="39">
        <v>0</v>
      </c>
      <c r="DH14" s="39">
        <v>0</v>
      </c>
      <c r="DI14" s="39">
        <v>0</v>
      </c>
      <c r="DJ14" s="39">
        <v>0</v>
      </c>
      <c r="DK14" s="39">
        <v>0</v>
      </c>
      <c r="DL14" s="39">
        <v>0</v>
      </c>
      <c r="DM14" s="39">
        <v>1008</v>
      </c>
      <c r="DN14" s="39">
        <v>17</v>
      </c>
      <c r="DO14" s="39">
        <v>1353.26</v>
      </c>
      <c r="DP14" s="39">
        <v>0</v>
      </c>
      <c r="DQ14" s="39">
        <v>46</v>
      </c>
      <c r="DR14" s="39">
        <v>0</v>
      </c>
      <c r="DS14" s="39">
        <v>113</v>
      </c>
      <c r="DT14" s="39">
        <v>17</v>
      </c>
      <c r="DU14" s="39">
        <v>92</v>
      </c>
      <c r="DV14" s="39">
        <v>113</v>
      </c>
      <c r="DW14" s="39">
        <v>0</v>
      </c>
      <c r="DX14" s="39">
        <v>42</v>
      </c>
      <c r="DY14" s="39">
        <v>0</v>
      </c>
      <c r="DZ14" s="39">
        <v>0</v>
      </c>
      <c r="EA14" s="39">
        <v>0</v>
      </c>
      <c r="EB14" s="39">
        <v>200</v>
      </c>
      <c r="EC14" s="39">
        <v>0</v>
      </c>
      <c r="ED14" s="39">
        <v>193</v>
      </c>
      <c r="EE14" s="39">
        <v>0</v>
      </c>
      <c r="EF14" s="39">
        <v>0</v>
      </c>
      <c r="EG14" s="39">
        <v>0</v>
      </c>
      <c r="EH14" s="39">
        <v>306</v>
      </c>
      <c r="EI14" s="39">
        <v>0</v>
      </c>
      <c r="EJ14" s="39">
        <v>0</v>
      </c>
      <c r="EK14" s="39">
        <v>0</v>
      </c>
      <c r="EL14" s="39">
        <v>170</v>
      </c>
      <c r="EM14" s="39">
        <v>50</v>
      </c>
      <c r="EN14" s="39">
        <v>115</v>
      </c>
      <c r="EO14" s="39">
        <v>0</v>
      </c>
      <c r="EP14" s="39">
        <v>113</v>
      </c>
      <c r="EQ14" s="39">
        <v>0</v>
      </c>
      <c r="ER14" s="39">
        <v>0</v>
      </c>
      <c r="ES14" s="39">
        <v>0</v>
      </c>
      <c r="ET14" s="39">
        <v>0</v>
      </c>
      <c r="EU14" s="39">
        <v>0</v>
      </c>
      <c r="EV14" s="39">
        <v>16</v>
      </c>
      <c r="EW14" s="39">
        <v>307</v>
      </c>
      <c r="EX14" s="39">
        <v>11</v>
      </c>
      <c r="EY14" s="39">
        <v>105</v>
      </c>
      <c r="EZ14" s="39">
        <v>220</v>
      </c>
      <c r="FA14" s="39">
        <v>0</v>
      </c>
      <c r="FB14" s="39">
        <v>452</v>
      </c>
      <c r="FC14" s="39">
        <v>1244</v>
      </c>
      <c r="FD14" s="39">
        <v>0</v>
      </c>
      <c r="FE14" s="39">
        <v>7486.26</v>
      </c>
      <c r="FF14" s="39">
        <v>16092.96</v>
      </c>
      <c r="FG14" s="39">
        <v>78.17</v>
      </c>
      <c r="GA14" s="38"/>
    </row>
    <row r="15" spans="1:219" s="42" customFormat="1" ht="39.950000000000003" customHeight="1" x14ac:dyDescent="0.25">
      <c r="A15" s="40" t="s">
        <v>547</v>
      </c>
      <c r="B15" s="39">
        <v>8</v>
      </c>
      <c r="C15" s="39">
        <v>17</v>
      </c>
      <c r="D15" s="39">
        <v>8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350</v>
      </c>
      <c r="K15" s="39">
        <v>0</v>
      </c>
      <c r="L15" s="39">
        <v>0</v>
      </c>
      <c r="M15" s="39">
        <v>17</v>
      </c>
      <c r="N15" s="39">
        <v>17</v>
      </c>
      <c r="O15" s="39">
        <v>130</v>
      </c>
      <c r="P15" s="39">
        <v>80</v>
      </c>
      <c r="Q15" s="39">
        <v>294</v>
      </c>
      <c r="R15" s="39">
        <v>55</v>
      </c>
      <c r="S15" s="39">
        <v>0</v>
      </c>
      <c r="T15" s="39">
        <v>54</v>
      </c>
      <c r="U15" s="39">
        <v>0</v>
      </c>
      <c r="V15" s="39">
        <v>16</v>
      </c>
      <c r="W15" s="39">
        <v>350</v>
      </c>
      <c r="X15" s="39">
        <v>292</v>
      </c>
      <c r="Y15" s="39">
        <v>250</v>
      </c>
      <c r="Z15" s="39">
        <v>0</v>
      </c>
      <c r="AA15" s="39">
        <v>35</v>
      </c>
      <c r="AB15" s="39">
        <v>0</v>
      </c>
      <c r="AC15" s="39">
        <v>250</v>
      </c>
      <c r="AD15" s="39">
        <v>0</v>
      </c>
      <c r="AE15" s="39">
        <v>0</v>
      </c>
      <c r="AF15" s="39">
        <v>0</v>
      </c>
      <c r="AG15" s="39">
        <v>72</v>
      </c>
      <c r="AH15" s="39">
        <v>8.5</v>
      </c>
      <c r="AI15" s="39">
        <v>22</v>
      </c>
      <c r="AJ15" s="39">
        <v>0</v>
      </c>
      <c r="AK15" s="39">
        <v>300</v>
      </c>
      <c r="AL15" s="39">
        <v>72</v>
      </c>
      <c r="AM15" s="39">
        <v>65</v>
      </c>
      <c r="AN15" s="39">
        <v>31</v>
      </c>
      <c r="AO15" s="39">
        <v>0</v>
      </c>
      <c r="AP15" s="39">
        <v>0</v>
      </c>
      <c r="AQ15" s="39">
        <v>93</v>
      </c>
      <c r="AR15" s="39">
        <v>53</v>
      </c>
      <c r="AS15" s="39">
        <v>54</v>
      </c>
      <c r="AT15" s="39">
        <v>100</v>
      </c>
      <c r="AU15" s="39">
        <v>88</v>
      </c>
      <c r="AV15" s="39">
        <v>0</v>
      </c>
      <c r="AW15" s="39">
        <v>40</v>
      </c>
      <c r="AX15" s="39">
        <v>110</v>
      </c>
      <c r="AY15" s="39">
        <v>16</v>
      </c>
      <c r="AZ15" s="39">
        <v>552</v>
      </c>
      <c r="BA15" s="39">
        <v>124</v>
      </c>
      <c r="BB15" s="39">
        <v>0</v>
      </c>
      <c r="BC15" s="39">
        <v>50</v>
      </c>
      <c r="BD15" s="39">
        <v>25.5</v>
      </c>
      <c r="BE15" s="39">
        <v>87</v>
      </c>
      <c r="BF15" s="39">
        <v>146</v>
      </c>
      <c r="BG15" s="39">
        <v>0</v>
      </c>
      <c r="BH15" s="39">
        <v>0</v>
      </c>
      <c r="BI15" s="39">
        <v>0</v>
      </c>
      <c r="BJ15" s="39">
        <v>1224</v>
      </c>
      <c r="BK15" s="39">
        <v>0</v>
      </c>
      <c r="BL15" s="39">
        <v>51</v>
      </c>
      <c r="BM15" s="39">
        <v>135</v>
      </c>
      <c r="BN15" s="39">
        <v>180</v>
      </c>
      <c r="BO15" s="39">
        <v>0</v>
      </c>
      <c r="BP15" s="39">
        <v>0</v>
      </c>
      <c r="BQ15" s="39">
        <v>345</v>
      </c>
      <c r="BR15" s="39">
        <v>51</v>
      </c>
      <c r="BS15" s="39">
        <v>215</v>
      </c>
      <c r="BT15" s="39">
        <v>35</v>
      </c>
      <c r="BU15" s="39">
        <v>57</v>
      </c>
      <c r="BV15" s="39">
        <v>50</v>
      </c>
      <c r="BW15" s="39">
        <v>108</v>
      </c>
      <c r="BX15" s="39">
        <v>9</v>
      </c>
      <c r="BY15" s="39">
        <v>20</v>
      </c>
      <c r="BZ15" s="39">
        <v>114</v>
      </c>
      <c r="CA15" s="39">
        <v>50</v>
      </c>
      <c r="CB15" s="39">
        <v>52.2</v>
      </c>
      <c r="CC15" s="39">
        <v>0</v>
      </c>
      <c r="CD15" s="39">
        <v>37</v>
      </c>
      <c r="CE15" s="39">
        <v>305</v>
      </c>
      <c r="CF15" s="39">
        <v>0</v>
      </c>
      <c r="CG15" s="39">
        <v>327</v>
      </c>
      <c r="CH15" s="39">
        <v>36</v>
      </c>
      <c r="CI15" s="39">
        <v>30</v>
      </c>
      <c r="CJ15" s="39">
        <v>0</v>
      </c>
      <c r="CK15" s="39">
        <v>147</v>
      </c>
      <c r="CL15" s="39">
        <v>8</v>
      </c>
      <c r="CM15" s="39">
        <v>0</v>
      </c>
      <c r="CN15" s="39">
        <v>80</v>
      </c>
      <c r="CO15" s="39">
        <v>28</v>
      </c>
      <c r="CP15" s="39">
        <v>0</v>
      </c>
      <c r="CQ15" s="39">
        <v>16</v>
      </c>
      <c r="CR15" s="39">
        <v>170</v>
      </c>
      <c r="CS15" s="39">
        <v>0</v>
      </c>
      <c r="CT15" s="39">
        <v>47</v>
      </c>
      <c r="CU15" s="39">
        <v>91</v>
      </c>
      <c r="CV15" s="39">
        <v>22</v>
      </c>
      <c r="CW15" s="39">
        <v>0</v>
      </c>
      <c r="CX15" s="39">
        <v>0</v>
      </c>
      <c r="CY15" s="39">
        <v>12</v>
      </c>
      <c r="CZ15" s="39">
        <v>8384.2000000000007</v>
      </c>
      <c r="DA15" s="39">
        <v>923</v>
      </c>
      <c r="DB15" s="39">
        <v>262</v>
      </c>
      <c r="DC15" s="39">
        <v>0</v>
      </c>
      <c r="DD15" s="39">
        <v>0</v>
      </c>
      <c r="DE15" s="39">
        <v>0</v>
      </c>
      <c r="DF15" s="39">
        <v>0</v>
      </c>
      <c r="DG15" s="39">
        <v>0</v>
      </c>
      <c r="DH15" s="39">
        <v>0</v>
      </c>
      <c r="DI15" s="39">
        <v>0</v>
      </c>
      <c r="DJ15" s="39">
        <v>0</v>
      </c>
      <c r="DK15" s="39">
        <v>0</v>
      </c>
      <c r="DL15" s="39">
        <v>0</v>
      </c>
      <c r="DM15" s="39">
        <v>954</v>
      </c>
      <c r="DN15" s="39">
        <v>17</v>
      </c>
      <c r="DO15" s="39">
        <v>1362.17</v>
      </c>
      <c r="DP15" s="39">
        <v>0</v>
      </c>
      <c r="DQ15" s="39">
        <v>46</v>
      </c>
      <c r="DR15" s="39">
        <v>0</v>
      </c>
      <c r="DS15" s="39">
        <v>113</v>
      </c>
      <c r="DT15" s="39">
        <v>17</v>
      </c>
      <c r="DU15" s="39">
        <v>0</v>
      </c>
      <c r="DV15" s="39">
        <v>113</v>
      </c>
      <c r="DW15" s="39">
        <v>16</v>
      </c>
      <c r="DX15" s="39">
        <v>42</v>
      </c>
      <c r="DY15" s="39">
        <v>0</v>
      </c>
      <c r="DZ15" s="39">
        <v>0</v>
      </c>
      <c r="EA15" s="39">
        <v>0</v>
      </c>
      <c r="EB15" s="39">
        <v>199</v>
      </c>
      <c r="EC15" s="39">
        <v>0</v>
      </c>
      <c r="ED15" s="39">
        <v>192</v>
      </c>
      <c r="EE15" s="39">
        <v>0</v>
      </c>
      <c r="EF15" s="39">
        <v>0</v>
      </c>
      <c r="EG15" s="39">
        <v>0</v>
      </c>
      <c r="EH15" s="39">
        <v>395</v>
      </c>
      <c r="EI15" s="39">
        <v>0</v>
      </c>
      <c r="EJ15" s="39">
        <v>0</v>
      </c>
      <c r="EK15" s="39">
        <v>0</v>
      </c>
      <c r="EL15" s="39">
        <v>168</v>
      </c>
      <c r="EM15" s="39">
        <v>52</v>
      </c>
      <c r="EN15" s="39">
        <v>115</v>
      </c>
      <c r="EO15" s="39">
        <v>0</v>
      </c>
      <c r="EP15" s="39">
        <v>113</v>
      </c>
      <c r="EQ15" s="39">
        <v>0</v>
      </c>
      <c r="ER15" s="39">
        <v>0</v>
      </c>
      <c r="ES15" s="39">
        <v>0</v>
      </c>
      <c r="ET15" s="39">
        <v>0</v>
      </c>
      <c r="EU15" s="39">
        <v>0</v>
      </c>
      <c r="EV15" s="39">
        <v>16</v>
      </c>
      <c r="EW15" s="39">
        <v>307</v>
      </c>
      <c r="EX15" s="39">
        <v>10</v>
      </c>
      <c r="EY15" s="39">
        <v>115</v>
      </c>
      <c r="EZ15" s="39">
        <v>220</v>
      </c>
      <c r="FA15" s="39">
        <v>0</v>
      </c>
      <c r="FB15" s="39">
        <v>452</v>
      </c>
      <c r="FC15" s="39">
        <v>1244</v>
      </c>
      <c r="FD15" s="39">
        <v>0</v>
      </c>
      <c r="FE15" s="39">
        <v>7463.17</v>
      </c>
      <c r="FF15" s="39">
        <v>15847.37</v>
      </c>
      <c r="FG15" s="39">
        <v>78.16</v>
      </c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</row>
    <row r="16" spans="1:219" s="37" customFormat="1" ht="39.950000000000003" customHeight="1" x14ac:dyDescent="0.3">
      <c r="A16" s="40" t="s">
        <v>546</v>
      </c>
      <c r="B16" s="39">
        <v>8</v>
      </c>
      <c r="C16" s="39">
        <v>17</v>
      </c>
      <c r="D16" s="39">
        <v>8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350</v>
      </c>
      <c r="K16" s="39">
        <v>0</v>
      </c>
      <c r="L16" s="39">
        <v>0</v>
      </c>
      <c r="M16" s="39">
        <v>17</v>
      </c>
      <c r="N16" s="39">
        <v>17</v>
      </c>
      <c r="O16" s="39">
        <v>119</v>
      </c>
      <c r="P16" s="39">
        <v>80</v>
      </c>
      <c r="Q16" s="39">
        <v>245</v>
      </c>
      <c r="R16" s="39">
        <v>55</v>
      </c>
      <c r="S16" s="39">
        <v>0</v>
      </c>
      <c r="T16" s="39">
        <v>54</v>
      </c>
      <c r="U16" s="39">
        <v>0</v>
      </c>
      <c r="V16" s="39">
        <v>16</v>
      </c>
      <c r="W16" s="39">
        <v>350</v>
      </c>
      <c r="X16" s="39">
        <v>293</v>
      </c>
      <c r="Y16" s="39">
        <v>250</v>
      </c>
      <c r="Z16" s="39">
        <v>0</v>
      </c>
      <c r="AA16" s="39">
        <v>35</v>
      </c>
      <c r="AB16" s="39">
        <v>0</v>
      </c>
      <c r="AC16" s="39">
        <v>250</v>
      </c>
      <c r="AD16" s="39">
        <v>0</v>
      </c>
      <c r="AE16" s="39">
        <v>0</v>
      </c>
      <c r="AF16" s="39">
        <v>0</v>
      </c>
      <c r="AG16" s="39">
        <v>52</v>
      </c>
      <c r="AH16" s="39">
        <v>8.5</v>
      </c>
      <c r="AI16" s="39">
        <v>22</v>
      </c>
      <c r="AJ16" s="39">
        <v>0</v>
      </c>
      <c r="AK16" s="39">
        <v>300</v>
      </c>
      <c r="AL16" s="39">
        <v>101</v>
      </c>
      <c r="AM16" s="39">
        <v>135</v>
      </c>
      <c r="AN16" s="39">
        <v>24</v>
      </c>
      <c r="AO16" s="39">
        <v>0</v>
      </c>
      <c r="AP16" s="39">
        <v>0</v>
      </c>
      <c r="AQ16" s="39">
        <v>95</v>
      </c>
      <c r="AR16" s="39">
        <v>53</v>
      </c>
      <c r="AS16" s="39">
        <v>17</v>
      </c>
      <c r="AT16" s="39">
        <v>100</v>
      </c>
      <c r="AU16" s="39">
        <v>88</v>
      </c>
      <c r="AV16" s="39">
        <v>0</v>
      </c>
      <c r="AW16" s="39">
        <v>40</v>
      </c>
      <c r="AX16" s="39">
        <v>110</v>
      </c>
      <c r="AY16" s="39">
        <v>28</v>
      </c>
      <c r="AZ16" s="39">
        <v>552</v>
      </c>
      <c r="BA16" s="39">
        <v>160</v>
      </c>
      <c r="BB16" s="39">
        <v>0</v>
      </c>
      <c r="BC16" s="39">
        <v>50</v>
      </c>
      <c r="BD16" s="39">
        <v>25.5</v>
      </c>
      <c r="BE16" s="39">
        <v>87</v>
      </c>
      <c r="BF16" s="39">
        <v>146</v>
      </c>
      <c r="BG16" s="39">
        <v>0</v>
      </c>
      <c r="BH16" s="39">
        <v>0</v>
      </c>
      <c r="BI16" s="39">
        <v>0</v>
      </c>
      <c r="BJ16" s="39">
        <v>1224</v>
      </c>
      <c r="BK16" s="39">
        <v>0</v>
      </c>
      <c r="BL16" s="39">
        <v>51</v>
      </c>
      <c r="BM16" s="39">
        <v>133</v>
      </c>
      <c r="BN16" s="39">
        <v>180</v>
      </c>
      <c r="BO16" s="39">
        <v>0</v>
      </c>
      <c r="BP16" s="39">
        <v>0</v>
      </c>
      <c r="BQ16" s="39">
        <v>345</v>
      </c>
      <c r="BR16" s="39">
        <v>52</v>
      </c>
      <c r="BS16" s="39">
        <v>216</v>
      </c>
      <c r="BT16" s="39">
        <v>35</v>
      </c>
      <c r="BU16" s="39">
        <v>68</v>
      </c>
      <c r="BV16" s="39">
        <v>50</v>
      </c>
      <c r="BW16" s="39">
        <v>105</v>
      </c>
      <c r="BX16" s="39">
        <v>8</v>
      </c>
      <c r="BY16" s="39">
        <v>20</v>
      </c>
      <c r="BZ16" s="39">
        <v>114</v>
      </c>
      <c r="CA16" s="39">
        <v>48</v>
      </c>
      <c r="CB16" s="39">
        <v>52.2</v>
      </c>
      <c r="CC16" s="39">
        <v>0</v>
      </c>
      <c r="CD16" s="39">
        <v>37</v>
      </c>
      <c r="CE16" s="39">
        <v>300</v>
      </c>
      <c r="CF16" s="39">
        <v>0</v>
      </c>
      <c r="CG16" s="39">
        <v>321</v>
      </c>
      <c r="CH16" s="39">
        <v>36</v>
      </c>
      <c r="CI16" s="39">
        <v>30</v>
      </c>
      <c r="CJ16" s="39">
        <v>0</v>
      </c>
      <c r="CK16" s="39">
        <v>147</v>
      </c>
      <c r="CL16" s="39">
        <v>8</v>
      </c>
      <c r="CM16" s="39">
        <v>0</v>
      </c>
      <c r="CN16" s="39">
        <v>80</v>
      </c>
      <c r="CO16" s="39">
        <v>28</v>
      </c>
      <c r="CP16" s="39">
        <v>0</v>
      </c>
      <c r="CQ16" s="39">
        <v>16</v>
      </c>
      <c r="CR16" s="39">
        <v>169</v>
      </c>
      <c r="CS16" s="39">
        <v>0</v>
      </c>
      <c r="CT16" s="39">
        <v>47</v>
      </c>
      <c r="CU16" s="39">
        <v>92</v>
      </c>
      <c r="CV16" s="39">
        <v>22</v>
      </c>
      <c r="CW16" s="39">
        <v>0</v>
      </c>
      <c r="CX16" s="39">
        <v>0</v>
      </c>
      <c r="CY16" s="39">
        <v>12</v>
      </c>
      <c r="CZ16" s="39">
        <v>8404.2000000000007</v>
      </c>
      <c r="DA16" s="39">
        <v>923</v>
      </c>
      <c r="DB16" s="39">
        <v>258</v>
      </c>
      <c r="DC16" s="39">
        <v>0</v>
      </c>
      <c r="DD16" s="39">
        <v>0</v>
      </c>
      <c r="DE16" s="39">
        <v>0</v>
      </c>
      <c r="DF16" s="39">
        <v>0</v>
      </c>
      <c r="DG16" s="39">
        <v>0</v>
      </c>
      <c r="DH16" s="39">
        <v>0</v>
      </c>
      <c r="DI16" s="39">
        <v>0</v>
      </c>
      <c r="DJ16" s="39">
        <v>0</v>
      </c>
      <c r="DK16" s="39">
        <v>0</v>
      </c>
      <c r="DL16" s="39">
        <v>0</v>
      </c>
      <c r="DM16" s="39">
        <v>588</v>
      </c>
      <c r="DN16" s="39">
        <v>17</v>
      </c>
      <c r="DO16" s="39">
        <v>1358.72</v>
      </c>
      <c r="DP16" s="39">
        <v>0</v>
      </c>
      <c r="DQ16" s="39">
        <v>47</v>
      </c>
      <c r="DR16" s="39">
        <v>0</v>
      </c>
      <c r="DS16" s="39">
        <v>113</v>
      </c>
      <c r="DT16" s="39">
        <v>12</v>
      </c>
      <c r="DU16" s="39">
        <v>0</v>
      </c>
      <c r="DV16" s="39">
        <v>113</v>
      </c>
      <c r="DW16" s="39">
        <v>16</v>
      </c>
      <c r="DX16" s="39">
        <v>18</v>
      </c>
      <c r="DY16" s="39">
        <v>0</v>
      </c>
      <c r="DZ16" s="39">
        <v>0</v>
      </c>
      <c r="EA16" s="39">
        <v>0</v>
      </c>
      <c r="EB16" s="39">
        <v>200</v>
      </c>
      <c r="EC16" s="39">
        <v>0</v>
      </c>
      <c r="ED16" s="39">
        <v>192</v>
      </c>
      <c r="EE16" s="39">
        <v>0</v>
      </c>
      <c r="EF16" s="39">
        <v>0</v>
      </c>
      <c r="EG16" s="39">
        <v>0</v>
      </c>
      <c r="EH16" s="39">
        <v>322</v>
      </c>
      <c r="EI16" s="39">
        <v>0</v>
      </c>
      <c r="EJ16" s="39">
        <v>0</v>
      </c>
      <c r="EK16" s="39">
        <v>0</v>
      </c>
      <c r="EL16" s="39">
        <v>170</v>
      </c>
      <c r="EM16" s="39">
        <v>52</v>
      </c>
      <c r="EN16" s="39">
        <v>115</v>
      </c>
      <c r="EO16" s="39">
        <v>0</v>
      </c>
      <c r="EP16" s="39">
        <v>113</v>
      </c>
      <c r="EQ16" s="39">
        <v>0</v>
      </c>
      <c r="ER16" s="39">
        <v>0</v>
      </c>
      <c r="ES16" s="39">
        <v>0</v>
      </c>
      <c r="ET16" s="39">
        <v>0</v>
      </c>
      <c r="EU16" s="39">
        <v>0</v>
      </c>
      <c r="EV16" s="39">
        <v>64</v>
      </c>
      <c r="EW16" s="39">
        <v>307</v>
      </c>
      <c r="EX16" s="39">
        <v>11</v>
      </c>
      <c r="EY16" s="39">
        <v>115</v>
      </c>
      <c r="EZ16" s="39">
        <v>220</v>
      </c>
      <c r="FA16" s="39">
        <v>0</v>
      </c>
      <c r="FB16" s="39">
        <v>452</v>
      </c>
      <c r="FC16" s="39">
        <v>1244</v>
      </c>
      <c r="FD16" s="39">
        <v>48</v>
      </c>
      <c r="FE16" s="39">
        <v>7088.72</v>
      </c>
      <c r="FF16" s="39">
        <v>15492.92</v>
      </c>
      <c r="FG16" s="39">
        <v>78.150000000000006</v>
      </c>
      <c r="FH16" s="38"/>
      <c r="FI16" s="38"/>
      <c r="FJ16" s="38"/>
      <c r="FK16" s="38"/>
      <c r="FL16" s="38"/>
      <c r="FM16" s="38"/>
      <c r="FN16" s="38" t="s">
        <v>545</v>
      </c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X16" s="37" t="s">
        <v>545</v>
      </c>
    </row>
    <row r="17" spans="1:189" s="37" customFormat="1" ht="39.950000000000003" customHeight="1" x14ac:dyDescent="0.3">
      <c r="A17" s="40" t="s">
        <v>544</v>
      </c>
      <c r="B17" s="39">
        <v>8</v>
      </c>
      <c r="C17" s="39">
        <v>17</v>
      </c>
      <c r="D17" s="39">
        <v>8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350</v>
      </c>
      <c r="K17" s="39">
        <v>0</v>
      </c>
      <c r="L17" s="39">
        <v>0</v>
      </c>
      <c r="M17" s="39">
        <v>17</v>
      </c>
      <c r="N17" s="39">
        <v>17</v>
      </c>
      <c r="O17" s="39">
        <v>113</v>
      </c>
      <c r="P17" s="39">
        <v>82</v>
      </c>
      <c r="Q17" s="39">
        <v>195</v>
      </c>
      <c r="R17" s="39">
        <v>55</v>
      </c>
      <c r="S17" s="39">
        <v>0</v>
      </c>
      <c r="T17" s="39">
        <v>54</v>
      </c>
      <c r="U17" s="39">
        <v>0</v>
      </c>
      <c r="V17" s="39">
        <v>16</v>
      </c>
      <c r="W17" s="39">
        <v>350</v>
      </c>
      <c r="X17" s="39">
        <v>288</v>
      </c>
      <c r="Y17" s="39">
        <v>250</v>
      </c>
      <c r="Z17" s="39">
        <v>0</v>
      </c>
      <c r="AA17" s="39">
        <v>35</v>
      </c>
      <c r="AB17" s="39">
        <v>0</v>
      </c>
      <c r="AC17" s="39">
        <v>250</v>
      </c>
      <c r="AD17" s="39">
        <v>0</v>
      </c>
      <c r="AE17" s="39">
        <v>0</v>
      </c>
      <c r="AF17" s="39">
        <v>0</v>
      </c>
      <c r="AG17" s="39">
        <v>52</v>
      </c>
      <c r="AH17" s="39">
        <v>8.5</v>
      </c>
      <c r="AI17" s="39">
        <v>22</v>
      </c>
      <c r="AJ17" s="39">
        <v>0</v>
      </c>
      <c r="AK17" s="39">
        <v>300</v>
      </c>
      <c r="AL17" s="39">
        <v>110</v>
      </c>
      <c r="AM17" s="39">
        <v>100</v>
      </c>
      <c r="AN17" s="39">
        <v>0</v>
      </c>
      <c r="AO17" s="39">
        <v>0</v>
      </c>
      <c r="AP17" s="39">
        <v>0</v>
      </c>
      <c r="AQ17" s="39">
        <v>94</v>
      </c>
      <c r="AR17" s="39">
        <v>53</v>
      </c>
      <c r="AS17" s="39">
        <v>0</v>
      </c>
      <c r="AT17" s="39">
        <v>100</v>
      </c>
      <c r="AU17" s="39">
        <v>88</v>
      </c>
      <c r="AV17" s="39">
        <v>0</v>
      </c>
      <c r="AW17" s="39">
        <v>40</v>
      </c>
      <c r="AX17" s="39">
        <v>110</v>
      </c>
      <c r="AY17" s="39">
        <v>28</v>
      </c>
      <c r="AZ17" s="39">
        <v>555</v>
      </c>
      <c r="BA17" s="39">
        <v>124</v>
      </c>
      <c r="BB17" s="39">
        <v>0</v>
      </c>
      <c r="BC17" s="39">
        <v>19</v>
      </c>
      <c r="BD17" s="39">
        <v>0</v>
      </c>
      <c r="BE17" s="39">
        <v>87</v>
      </c>
      <c r="BF17" s="39">
        <v>146</v>
      </c>
      <c r="BG17" s="39">
        <v>0</v>
      </c>
      <c r="BH17" s="39">
        <v>0</v>
      </c>
      <c r="BI17" s="39">
        <v>0</v>
      </c>
      <c r="BJ17" s="39">
        <v>1224</v>
      </c>
      <c r="BK17" s="39">
        <v>0</v>
      </c>
      <c r="BL17" s="39">
        <v>51</v>
      </c>
      <c r="BM17" s="39">
        <v>127</v>
      </c>
      <c r="BN17" s="39">
        <v>180</v>
      </c>
      <c r="BO17" s="39">
        <v>0</v>
      </c>
      <c r="BP17" s="39">
        <v>0</v>
      </c>
      <c r="BQ17" s="39">
        <v>345</v>
      </c>
      <c r="BR17" s="39">
        <v>53</v>
      </c>
      <c r="BS17" s="39">
        <v>217</v>
      </c>
      <c r="BT17" s="39">
        <v>35</v>
      </c>
      <c r="BU17" s="39">
        <v>69</v>
      </c>
      <c r="BV17" s="39">
        <v>50</v>
      </c>
      <c r="BW17" s="39">
        <v>103</v>
      </c>
      <c r="BX17" s="39">
        <v>9</v>
      </c>
      <c r="BY17" s="39">
        <v>20</v>
      </c>
      <c r="BZ17" s="39">
        <v>114</v>
      </c>
      <c r="CA17" s="39">
        <v>48</v>
      </c>
      <c r="CB17" s="39">
        <v>52.2</v>
      </c>
      <c r="CC17" s="39">
        <v>0</v>
      </c>
      <c r="CD17" s="39">
        <v>31</v>
      </c>
      <c r="CE17" s="39">
        <v>310</v>
      </c>
      <c r="CF17" s="39">
        <v>0</v>
      </c>
      <c r="CG17" s="39">
        <v>312</v>
      </c>
      <c r="CH17" s="39">
        <v>36</v>
      </c>
      <c r="CI17" s="39">
        <v>30</v>
      </c>
      <c r="CJ17" s="39">
        <v>0</v>
      </c>
      <c r="CK17" s="39">
        <v>147</v>
      </c>
      <c r="CL17" s="39">
        <v>8</v>
      </c>
      <c r="CM17" s="39">
        <v>0</v>
      </c>
      <c r="CN17" s="39">
        <v>80</v>
      </c>
      <c r="CO17" s="39">
        <v>28</v>
      </c>
      <c r="CP17" s="39">
        <v>0</v>
      </c>
      <c r="CQ17" s="39">
        <v>16</v>
      </c>
      <c r="CR17" s="39">
        <v>169</v>
      </c>
      <c r="CS17" s="39">
        <v>0</v>
      </c>
      <c r="CT17" s="39">
        <v>47</v>
      </c>
      <c r="CU17" s="39">
        <v>92</v>
      </c>
      <c r="CV17" s="39">
        <v>22</v>
      </c>
      <c r="CW17" s="39">
        <v>0</v>
      </c>
      <c r="CX17" s="39">
        <v>0</v>
      </c>
      <c r="CY17" s="39">
        <v>12</v>
      </c>
      <c r="CZ17" s="39">
        <v>8178.7</v>
      </c>
      <c r="DA17" s="39">
        <v>922</v>
      </c>
      <c r="DB17" s="39">
        <v>258</v>
      </c>
      <c r="DC17" s="39">
        <v>0</v>
      </c>
      <c r="DD17" s="39">
        <v>0</v>
      </c>
      <c r="DE17" s="39">
        <v>0</v>
      </c>
      <c r="DF17" s="39">
        <v>0</v>
      </c>
      <c r="DG17" s="39">
        <v>0</v>
      </c>
      <c r="DH17" s="39">
        <v>0</v>
      </c>
      <c r="DI17" s="39">
        <v>0</v>
      </c>
      <c r="DJ17" s="39">
        <v>0</v>
      </c>
      <c r="DK17" s="39">
        <v>0</v>
      </c>
      <c r="DL17" s="39">
        <v>0</v>
      </c>
      <c r="DM17" s="39">
        <v>583</v>
      </c>
      <c r="DN17" s="39">
        <v>17</v>
      </c>
      <c r="DO17" s="39">
        <v>1359.42</v>
      </c>
      <c r="DP17" s="39">
        <v>0</v>
      </c>
      <c r="DQ17" s="39">
        <v>0</v>
      </c>
      <c r="DR17" s="39">
        <v>0</v>
      </c>
      <c r="DS17" s="39">
        <v>113</v>
      </c>
      <c r="DT17" s="39">
        <v>0</v>
      </c>
      <c r="DU17" s="39">
        <v>0</v>
      </c>
      <c r="DV17" s="39">
        <v>0</v>
      </c>
      <c r="DW17" s="39">
        <v>0</v>
      </c>
      <c r="DX17" s="39">
        <v>0</v>
      </c>
      <c r="DY17" s="39">
        <v>0</v>
      </c>
      <c r="DZ17" s="39">
        <v>0</v>
      </c>
      <c r="EA17" s="39">
        <v>0</v>
      </c>
      <c r="EB17" s="39">
        <v>200</v>
      </c>
      <c r="EC17" s="39">
        <v>0</v>
      </c>
      <c r="ED17" s="39">
        <v>188</v>
      </c>
      <c r="EE17" s="39">
        <v>0</v>
      </c>
      <c r="EF17" s="39">
        <v>0</v>
      </c>
      <c r="EG17" s="39">
        <v>0</v>
      </c>
      <c r="EH17" s="39">
        <v>330</v>
      </c>
      <c r="EI17" s="39">
        <v>0</v>
      </c>
      <c r="EJ17" s="39">
        <v>0</v>
      </c>
      <c r="EK17" s="39">
        <v>0</v>
      </c>
      <c r="EL17" s="39">
        <v>170</v>
      </c>
      <c r="EM17" s="39">
        <v>50</v>
      </c>
      <c r="EN17" s="39">
        <v>115</v>
      </c>
      <c r="EO17" s="39">
        <v>0</v>
      </c>
      <c r="EP17" s="39">
        <v>113</v>
      </c>
      <c r="EQ17" s="39">
        <v>0</v>
      </c>
      <c r="ER17" s="39">
        <v>0</v>
      </c>
      <c r="ES17" s="39">
        <v>0</v>
      </c>
      <c r="ET17" s="39">
        <v>0</v>
      </c>
      <c r="EU17" s="39">
        <v>0</v>
      </c>
      <c r="EV17" s="39">
        <v>64</v>
      </c>
      <c r="EW17" s="39">
        <v>307</v>
      </c>
      <c r="EX17" s="39">
        <v>10</v>
      </c>
      <c r="EY17" s="39">
        <v>110</v>
      </c>
      <c r="EZ17" s="39">
        <v>220</v>
      </c>
      <c r="FA17" s="39">
        <v>0</v>
      </c>
      <c r="FB17" s="39">
        <v>452</v>
      </c>
      <c r="FC17" s="39">
        <v>1244</v>
      </c>
      <c r="FD17" s="39">
        <v>100</v>
      </c>
      <c r="FE17" s="39">
        <v>6925.42</v>
      </c>
      <c r="FF17" s="39">
        <v>15104.12</v>
      </c>
      <c r="FG17" s="39">
        <v>78.14</v>
      </c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</row>
    <row r="18" spans="1:189" s="37" customFormat="1" ht="39.950000000000003" customHeight="1" x14ac:dyDescent="0.3">
      <c r="A18" s="40" t="s">
        <v>543</v>
      </c>
      <c r="B18" s="39">
        <v>8</v>
      </c>
      <c r="C18" s="39">
        <v>17</v>
      </c>
      <c r="D18" s="39">
        <v>8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340</v>
      </c>
      <c r="K18" s="39">
        <v>0</v>
      </c>
      <c r="L18" s="39">
        <v>0</v>
      </c>
      <c r="M18" s="39">
        <v>17</v>
      </c>
      <c r="N18" s="39">
        <v>17</v>
      </c>
      <c r="O18" s="39">
        <v>113</v>
      </c>
      <c r="P18" s="39">
        <v>82</v>
      </c>
      <c r="Q18" s="39">
        <v>145</v>
      </c>
      <c r="R18" s="39">
        <v>40</v>
      </c>
      <c r="S18" s="39">
        <v>0</v>
      </c>
      <c r="T18" s="39">
        <v>54</v>
      </c>
      <c r="U18" s="39">
        <v>0</v>
      </c>
      <c r="V18" s="39">
        <v>16</v>
      </c>
      <c r="W18" s="39">
        <v>330</v>
      </c>
      <c r="X18" s="39">
        <v>289</v>
      </c>
      <c r="Y18" s="39">
        <v>250</v>
      </c>
      <c r="Z18" s="39">
        <v>0</v>
      </c>
      <c r="AA18" s="39">
        <v>35</v>
      </c>
      <c r="AB18" s="39">
        <v>0</v>
      </c>
      <c r="AC18" s="39">
        <v>277</v>
      </c>
      <c r="AD18" s="39">
        <v>0</v>
      </c>
      <c r="AE18" s="39">
        <v>0</v>
      </c>
      <c r="AF18" s="39">
        <v>0</v>
      </c>
      <c r="AG18" s="39">
        <v>52</v>
      </c>
      <c r="AH18" s="39">
        <v>8.5</v>
      </c>
      <c r="AI18" s="39">
        <v>22</v>
      </c>
      <c r="AJ18" s="39">
        <v>0</v>
      </c>
      <c r="AK18" s="39">
        <v>300</v>
      </c>
      <c r="AL18" s="39">
        <v>35</v>
      </c>
      <c r="AM18" s="39">
        <v>15</v>
      </c>
      <c r="AN18" s="39">
        <v>0</v>
      </c>
      <c r="AO18" s="39">
        <v>0</v>
      </c>
      <c r="AP18" s="39">
        <v>0</v>
      </c>
      <c r="AQ18" s="39">
        <v>102</v>
      </c>
      <c r="AR18" s="39">
        <v>53</v>
      </c>
      <c r="AS18" s="39">
        <v>0</v>
      </c>
      <c r="AT18" s="39">
        <v>100</v>
      </c>
      <c r="AU18" s="39">
        <v>88</v>
      </c>
      <c r="AV18" s="39">
        <v>0</v>
      </c>
      <c r="AW18" s="39">
        <v>40</v>
      </c>
      <c r="AX18" s="39">
        <v>110</v>
      </c>
      <c r="AY18" s="39">
        <v>30</v>
      </c>
      <c r="AZ18" s="39">
        <v>556</v>
      </c>
      <c r="BA18" s="39">
        <v>0</v>
      </c>
      <c r="BB18" s="39">
        <v>0</v>
      </c>
      <c r="BC18" s="39">
        <v>0</v>
      </c>
      <c r="BD18" s="39">
        <v>0</v>
      </c>
      <c r="BE18" s="39">
        <v>85</v>
      </c>
      <c r="BF18" s="39">
        <v>146</v>
      </c>
      <c r="BG18" s="39">
        <v>0</v>
      </c>
      <c r="BH18" s="39">
        <v>0</v>
      </c>
      <c r="BI18" s="39">
        <v>0</v>
      </c>
      <c r="BJ18" s="39">
        <v>1224</v>
      </c>
      <c r="BK18" s="39">
        <v>0</v>
      </c>
      <c r="BL18" s="39">
        <v>51</v>
      </c>
      <c r="BM18" s="39">
        <v>127</v>
      </c>
      <c r="BN18" s="39">
        <v>180</v>
      </c>
      <c r="BO18" s="39">
        <v>0</v>
      </c>
      <c r="BP18" s="39">
        <v>232</v>
      </c>
      <c r="BQ18" s="39">
        <v>345</v>
      </c>
      <c r="BR18" s="39">
        <v>53</v>
      </c>
      <c r="BS18" s="39">
        <v>189</v>
      </c>
      <c r="BT18" s="39">
        <v>35</v>
      </c>
      <c r="BU18" s="39">
        <v>69</v>
      </c>
      <c r="BV18" s="39">
        <v>50</v>
      </c>
      <c r="BW18" s="39">
        <v>103</v>
      </c>
      <c r="BX18" s="39">
        <v>9</v>
      </c>
      <c r="BY18" s="39">
        <v>20</v>
      </c>
      <c r="BZ18" s="39">
        <v>114</v>
      </c>
      <c r="CA18" s="39">
        <v>44</v>
      </c>
      <c r="CB18" s="39">
        <v>52.2</v>
      </c>
      <c r="CC18" s="39">
        <v>0</v>
      </c>
      <c r="CD18" s="39">
        <v>38</v>
      </c>
      <c r="CE18" s="39">
        <v>300</v>
      </c>
      <c r="CF18" s="39">
        <v>0</v>
      </c>
      <c r="CG18" s="39">
        <v>312</v>
      </c>
      <c r="CH18" s="39">
        <v>36</v>
      </c>
      <c r="CI18" s="39">
        <v>30</v>
      </c>
      <c r="CJ18" s="39">
        <v>0</v>
      </c>
      <c r="CK18" s="39">
        <v>145</v>
      </c>
      <c r="CL18" s="39">
        <v>8</v>
      </c>
      <c r="CM18" s="39">
        <v>0</v>
      </c>
      <c r="CN18" s="39">
        <v>80</v>
      </c>
      <c r="CO18" s="39">
        <v>28</v>
      </c>
      <c r="CP18" s="39">
        <v>0</v>
      </c>
      <c r="CQ18" s="39">
        <v>16</v>
      </c>
      <c r="CR18" s="39">
        <v>169</v>
      </c>
      <c r="CS18" s="39">
        <v>0</v>
      </c>
      <c r="CT18" s="39">
        <v>47</v>
      </c>
      <c r="CU18" s="39">
        <v>93</v>
      </c>
      <c r="CV18" s="39">
        <v>22</v>
      </c>
      <c r="CW18" s="39">
        <v>0</v>
      </c>
      <c r="CX18" s="39">
        <v>0</v>
      </c>
      <c r="CY18" s="39">
        <v>12</v>
      </c>
      <c r="CZ18" s="39">
        <v>8013.7</v>
      </c>
      <c r="DA18" s="39">
        <v>922</v>
      </c>
      <c r="DB18" s="39">
        <v>258</v>
      </c>
      <c r="DC18" s="39">
        <v>0</v>
      </c>
      <c r="DD18" s="39">
        <v>0</v>
      </c>
      <c r="DE18" s="39">
        <v>0</v>
      </c>
      <c r="DF18" s="39">
        <v>0</v>
      </c>
      <c r="DG18" s="39">
        <v>0</v>
      </c>
      <c r="DH18" s="39">
        <v>0</v>
      </c>
      <c r="DI18" s="39">
        <v>0</v>
      </c>
      <c r="DJ18" s="39">
        <v>0</v>
      </c>
      <c r="DK18" s="39">
        <v>0</v>
      </c>
      <c r="DL18" s="39">
        <v>0</v>
      </c>
      <c r="DM18" s="39">
        <v>581</v>
      </c>
      <c r="DN18" s="39">
        <v>17</v>
      </c>
      <c r="DO18" s="39">
        <v>1362.76</v>
      </c>
      <c r="DP18" s="39">
        <v>0</v>
      </c>
      <c r="DQ18" s="39">
        <v>0</v>
      </c>
      <c r="DR18" s="39">
        <v>0</v>
      </c>
      <c r="DS18" s="39">
        <v>113</v>
      </c>
      <c r="DT18" s="39">
        <v>0</v>
      </c>
      <c r="DU18" s="39">
        <v>0</v>
      </c>
      <c r="DV18" s="39">
        <v>0</v>
      </c>
      <c r="DW18" s="39">
        <v>0</v>
      </c>
      <c r="DX18" s="39">
        <v>0</v>
      </c>
      <c r="DY18" s="39">
        <v>0</v>
      </c>
      <c r="DZ18" s="39">
        <v>0</v>
      </c>
      <c r="EA18" s="39">
        <v>0</v>
      </c>
      <c r="EB18" s="39">
        <v>205</v>
      </c>
      <c r="EC18" s="39">
        <v>0</v>
      </c>
      <c r="ED18" s="39">
        <v>180</v>
      </c>
      <c r="EE18" s="39">
        <v>0</v>
      </c>
      <c r="EF18" s="39">
        <v>0</v>
      </c>
      <c r="EG18" s="39">
        <v>0</v>
      </c>
      <c r="EH18" s="39">
        <v>327</v>
      </c>
      <c r="EI18" s="39">
        <v>0</v>
      </c>
      <c r="EJ18" s="39">
        <v>0</v>
      </c>
      <c r="EK18" s="39">
        <v>0</v>
      </c>
      <c r="EL18" s="39">
        <v>171</v>
      </c>
      <c r="EM18" s="39">
        <v>49</v>
      </c>
      <c r="EN18" s="39">
        <v>115</v>
      </c>
      <c r="EO18" s="39">
        <v>0</v>
      </c>
      <c r="EP18" s="39">
        <v>113</v>
      </c>
      <c r="EQ18" s="39">
        <v>0</v>
      </c>
      <c r="ER18" s="39">
        <v>0</v>
      </c>
      <c r="ES18" s="39">
        <v>0</v>
      </c>
      <c r="ET18" s="39">
        <v>0</v>
      </c>
      <c r="EU18" s="39">
        <v>0</v>
      </c>
      <c r="EV18" s="39">
        <v>16</v>
      </c>
      <c r="EW18" s="39">
        <v>307</v>
      </c>
      <c r="EX18" s="39">
        <v>10</v>
      </c>
      <c r="EY18" s="39">
        <v>110</v>
      </c>
      <c r="EZ18" s="39">
        <v>220</v>
      </c>
      <c r="FA18" s="39">
        <v>0</v>
      </c>
      <c r="FB18" s="39">
        <v>452</v>
      </c>
      <c r="FC18" s="39">
        <v>1244</v>
      </c>
      <c r="FD18" s="39">
        <v>100</v>
      </c>
      <c r="FE18" s="39">
        <v>6872.76</v>
      </c>
      <c r="FF18" s="39">
        <v>14886.46</v>
      </c>
      <c r="FG18" s="39">
        <v>78.13</v>
      </c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</row>
    <row r="19" spans="1:189" s="37" customFormat="1" ht="39.950000000000003" customHeight="1" x14ac:dyDescent="0.3">
      <c r="A19" s="40" t="s">
        <v>542</v>
      </c>
      <c r="B19" s="39">
        <v>0</v>
      </c>
      <c r="C19" s="39">
        <v>17</v>
      </c>
      <c r="D19" s="39">
        <v>8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332</v>
      </c>
      <c r="K19" s="39">
        <v>0</v>
      </c>
      <c r="L19" s="39">
        <v>0</v>
      </c>
      <c r="M19" s="39">
        <v>17</v>
      </c>
      <c r="N19" s="39">
        <v>17</v>
      </c>
      <c r="O19" s="39">
        <v>113</v>
      </c>
      <c r="P19" s="39">
        <v>82</v>
      </c>
      <c r="Q19" s="39">
        <v>0</v>
      </c>
      <c r="R19" s="39">
        <v>0</v>
      </c>
      <c r="S19" s="39">
        <v>0</v>
      </c>
      <c r="T19" s="39">
        <v>54</v>
      </c>
      <c r="U19" s="39">
        <v>0</v>
      </c>
      <c r="V19" s="39">
        <v>16</v>
      </c>
      <c r="W19" s="39">
        <v>300</v>
      </c>
      <c r="X19" s="39">
        <v>273</v>
      </c>
      <c r="Y19" s="39">
        <v>250</v>
      </c>
      <c r="Z19" s="39">
        <v>0</v>
      </c>
      <c r="AA19" s="39">
        <v>17</v>
      </c>
      <c r="AB19" s="39">
        <v>0</v>
      </c>
      <c r="AC19" s="39">
        <v>266</v>
      </c>
      <c r="AD19" s="39">
        <v>0</v>
      </c>
      <c r="AE19" s="39">
        <v>0</v>
      </c>
      <c r="AF19" s="39">
        <v>2</v>
      </c>
      <c r="AG19" s="39">
        <v>52</v>
      </c>
      <c r="AH19" s="39">
        <v>0</v>
      </c>
      <c r="AI19" s="39">
        <v>22</v>
      </c>
      <c r="AJ19" s="39">
        <v>0</v>
      </c>
      <c r="AK19" s="39">
        <v>300</v>
      </c>
      <c r="AL19" s="39">
        <v>0</v>
      </c>
      <c r="AM19" s="39">
        <v>0</v>
      </c>
      <c r="AN19" s="39">
        <v>0</v>
      </c>
      <c r="AO19" s="39">
        <v>0</v>
      </c>
      <c r="AP19" s="39">
        <v>0</v>
      </c>
      <c r="AQ19" s="39">
        <v>17</v>
      </c>
      <c r="AR19" s="39">
        <v>23</v>
      </c>
      <c r="AS19" s="39">
        <v>0</v>
      </c>
      <c r="AT19" s="39">
        <v>100</v>
      </c>
      <c r="AU19" s="39">
        <v>50</v>
      </c>
      <c r="AV19" s="39">
        <v>0</v>
      </c>
      <c r="AW19" s="39">
        <v>40</v>
      </c>
      <c r="AX19" s="39">
        <v>110</v>
      </c>
      <c r="AY19" s="39">
        <v>33</v>
      </c>
      <c r="AZ19" s="39">
        <v>556</v>
      </c>
      <c r="BA19" s="39">
        <v>0</v>
      </c>
      <c r="BB19" s="39">
        <v>0</v>
      </c>
      <c r="BC19" s="39">
        <v>0</v>
      </c>
      <c r="BD19" s="39">
        <v>0</v>
      </c>
      <c r="BE19" s="39">
        <v>68</v>
      </c>
      <c r="BF19" s="39">
        <v>150</v>
      </c>
      <c r="BG19" s="39">
        <v>0</v>
      </c>
      <c r="BH19" s="39">
        <v>0</v>
      </c>
      <c r="BI19" s="39">
        <v>0</v>
      </c>
      <c r="BJ19" s="39">
        <v>1224</v>
      </c>
      <c r="BK19" s="39">
        <v>1</v>
      </c>
      <c r="BL19" s="39">
        <v>51</v>
      </c>
      <c r="BM19" s="39">
        <v>100</v>
      </c>
      <c r="BN19" s="39">
        <v>180</v>
      </c>
      <c r="BO19" s="39">
        <v>0</v>
      </c>
      <c r="BP19" s="39">
        <v>180</v>
      </c>
      <c r="BQ19" s="39">
        <v>345</v>
      </c>
      <c r="BR19" s="39">
        <v>53</v>
      </c>
      <c r="BS19" s="39">
        <v>182</v>
      </c>
      <c r="BT19" s="39">
        <v>35</v>
      </c>
      <c r="BU19" s="39">
        <v>53</v>
      </c>
      <c r="BV19" s="39">
        <v>70</v>
      </c>
      <c r="BW19" s="39">
        <v>104</v>
      </c>
      <c r="BX19" s="39">
        <v>9</v>
      </c>
      <c r="BY19" s="39">
        <v>20</v>
      </c>
      <c r="BZ19" s="39">
        <v>98</v>
      </c>
      <c r="CA19" s="39">
        <v>42</v>
      </c>
      <c r="CB19" s="39">
        <v>25</v>
      </c>
      <c r="CC19" s="39">
        <v>5</v>
      </c>
      <c r="CD19" s="39">
        <v>38</v>
      </c>
      <c r="CE19" s="39">
        <v>295</v>
      </c>
      <c r="CF19" s="39">
        <v>0</v>
      </c>
      <c r="CG19" s="39">
        <v>312</v>
      </c>
      <c r="CH19" s="39">
        <v>36</v>
      </c>
      <c r="CI19" s="39">
        <v>30</v>
      </c>
      <c r="CJ19" s="39">
        <v>0</v>
      </c>
      <c r="CK19" s="39">
        <v>130</v>
      </c>
      <c r="CL19" s="39">
        <v>0</v>
      </c>
      <c r="CM19" s="39">
        <v>0</v>
      </c>
      <c r="CN19" s="39">
        <v>81</v>
      </c>
      <c r="CO19" s="39">
        <v>30</v>
      </c>
      <c r="CP19" s="39">
        <v>0</v>
      </c>
      <c r="CQ19" s="39">
        <v>16</v>
      </c>
      <c r="CR19" s="39">
        <v>169</v>
      </c>
      <c r="CS19" s="39">
        <v>0</v>
      </c>
      <c r="CT19" s="39">
        <v>47</v>
      </c>
      <c r="CU19" s="39">
        <v>102</v>
      </c>
      <c r="CV19" s="39">
        <v>22</v>
      </c>
      <c r="CW19" s="39">
        <v>0</v>
      </c>
      <c r="CX19" s="39">
        <v>2.62</v>
      </c>
      <c r="CY19" s="39">
        <v>12</v>
      </c>
      <c r="CZ19" s="39">
        <v>7384.62</v>
      </c>
      <c r="DA19" s="39">
        <v>922</v>
      </c>
      <c r="DB19" s="39">
        <v>258</v>
      </c>
      <c r="DC19" s="39">
        <v>0</v>
      </c>
      <c r="DD19" s="39">
        <v>0</v>
      </c>
      <c r="DE19" s="39">
        <v>0</v>
      </c>
      <c r="DF19" s="39">
        <v>0</v>
      </c>
      <c r="DG19" s="39">
        <v>0</v>
      </c>
      <c r="DH19" s="39">
        <v>0</v>
      </c>
      <c r="DI19" s="39">
        <v>0</v>
      </c>
      <c r="DJ19" s="39">
        <v>0</v>
      </c>
      <c r="DK19" s="39">
        <v>0</v>
      </c>
      <c r="DL19" s="39">
        <v>5.4</v>
      </c>
      <c r="DM19" s="39">
        <v>610</v>
      </c>
      <c r="DN19" s="39">
        <v>17</v>
      </c>
      <c r="DO19" s="39">
        <v>1379.08</v>
      </c>
      <c r="DP19" s="39">
        <v>0</v>
      </c>
      <c r="DQ19" s="39">
        <v>0</v>
      </c>
      <c r="DR19" s="39">
        <v>0</v>
      </c>
      <c r="DS19" s="39">
        <v>70</v>
      </c>
      <c r="DT19" s="39">
        <v>0</v>
      </c>
      <c r="DU19" s="39">
        <v>0</v>
      </c>
      <c r="DV19" s="39">
        <v>0</v>
      </c>
      <c r="DW19" s="39">
        <v>0</v>
      </c>
      <c r="DX19" s="39">
        <v>0</v>
      </c>
      <c r="DY19" s="39">
        <v>4</v>
      </c>
      <c r="DZ19" s="39">
        <v>0</v>
      </c>
      <c r="EA19" s="39">
        <v>1.97</v>
      </c>
      <c r="EB19" s="39">
        <v>201</v>
      </c>
      <c r="EC19" s="39">
        <v>0</v>
      </c>
      <c r="ED19" s="39">
        <v>181</v>
      </c>
      <c r="EE19" s="39">
        <v>0</v>
      </c>
      <c r="EF19" s="39">
        <v>0</v>
      </c>
      <c r="EG19" s="39">
        <v>0</v>
      </c>
      <c r="EH19" s="39">
        <v>320</v>
      </c>
      <c r="EI19" s="39">
        <v>0</v>
      </c>
      <c r="EJ19" s="39">
        <v>0.13</v>
      </c>
      <c r="EK19" s="39">
        <v>0</v>
      </c>
      <c r="EL19" s="39">
        <v>169</v>
      </c>
      <c r="EM19" s="39">
        <v>49</v>
      </c>
      <c r="EN19" s="39">
        <v>35</v>
      </c>
      <c r="EO19" s="39">
        <v>1</v>
      </c>
      <c r="EP19" s="39">
        <v>69</v>
      </c>
      <c r="EQ19" s="39">
        <v>0</v>
      </c>
      <c r="ER19" s="39">
        <v>0</v>
      </c>
      <c r="ES19" s="39">
        <v>0.3</v>
      </c>
      <c r="ET19" s="39">
        <v>7</v>
      </c>
      <c r="EU19" s="39">
        <v>0.03</v>
      </c>
      <c r="EV19" s="39">
        <v>0</v>
      </c>
      <c r="EW19" s="39">
        <v>307</v>
      </c>
      <c r="EX19" s="39">
        <v>10</v>
      </c>
      <c r="EY19" s="39">
        <v>100</v>
      </c>
      <c r="EZ19" s="39">
        <v>180</v>
      </c>
      <c r="FA19" s="39">
        <v>0</v>
      </c>
      <c r="FB19" s="39">
        <v>453</v>
      </c>
      <c r="FC19" s="39">
        <v>1244</v>
      </c>
      <c r="FD19" s="39">
        <v>17</v>
      </c>
      <c r="FE19" s="39">
        <v>6610.91</v>
      </c>
      <c r="FF19" s="39">
        <v>13995.53</v>
      </c>
      <c r="FG19" s="39">
        <v>78.12</v>
      </c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</row>
    <row r="20" spans="1:189" s="37" customFormat="1" ht="39.950000000000003" customHeight="1" x14ac:dyDescent="0.3">
      <c r="A20" s="40" t="s">
        <v>541</v>
      </c>
      <c r="B20" s="39">
        <v>0</v>
      </c>
      <c r="C20" s="39">
        <v>17</v>
      </c>
      <c r="D20" s="39">
        <v>8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345</v>
      </c>
      <c r="K20" s="39">
        <v>0</v>
      </c>
      <c r="L20" s="39">
        <v>0</v>
      </c>
      <c r="M20" s="39">
        <v>0</v>
      </c>
      <c r="N20" s="39">
        <v>17</v>
      </c>
      <c r="O20" s="39">
        <v>112</v>
      </c>
      <c r="P20" s="39">
        <v>82</v>
      </c>
      <c r="Q20" s="39">
        <v>0</v>
      </c>
      <c r="R20" s="39">
        <v>0</v>
      </c>
      <c r="S20" s="39">
        <v>0</v>
      </c>
      <c r="T20" s="39">
        <v>35</v>
      </c>
      <c r="U20" s="39">
        <v>0</v>
      </c>
      <c r="V20" s="39">
        <v>0</v>
      </c>
      <c r="W20" s="39">
        <v>300</v>
      </c>
      <c r="X20" s="39">
        <v>279</v>
      </c>
      <c r="Y20" s="39">
        <v>250</v>
      </c>
      <c r="Z20" s="39">
        <v>0</v>
      </c>
      <c r="AA20" s="39">
        <v>0</v>
      </c>
      <c r="AB20" s="39">
        <v>0</v>
      </c>
      <c r="AC20" s="39">
        <v>250</v>
      </c>
      <c r="AD20" s="39">
        <v>0</v>
      </c>
      <c r="AE20" s="39">
        <v>0</v>
      </c>
      <c r="AF20" s="39">
        <v>7</v>
      </c>
      <c r="AG20" s="39">
        <v>52</v>
      </c>
      <c r="AH20" s="39">
        <v>18</v>
      </c>
      <c r="AI20" s="39">
        <v>22</v>
      </c>
      <c r="AJ20" s="39">
        <v>0</v>
      </c>
      <c r="AK20" s="39">
        <v>300</v>
      </c>
      <c r="AL20" s="39">
        <v>0</v>
      </c>
      <c r="AM20" s="39">
        <v>0</v>
      </c>
      <c r="AN20" s="39">
        <v>0</v>
      </c>
      <c r="AO20" s="39">
        <v>0</v>
      </c>
      <c r="AP20" s="39">
        <v>0</v>
      </c>
      <c r="AQ20" s="39">
        <v>17</v>
      </c>
      <c r="AR20" s="39">
        <v>0</v>
      </c>
      <c r="AS20" s="39">
        <v>0</v>
      </c>
      <c r="AT20" s="39">
        <v>70</v>
      </c>
      <c r="AU20" s="39">
        <v>12</v>
      </c>
      <c r="AV20" s="39">
        <v>0</v>
      </c>
      <c r="AW20" s="39">
        <v>40</v>
      </c>
      <c r="AX20" s="39">
        <v>0</v>
      </c>
      <c r="AY20" s="39">
        <v>34</v>
      </c>
      <c r="AZ20" s="39">
        <v>506</v>
      </c>
      <c r="BA20" s="39">
        <v>0</v>
      </c>
      <c r="BB20" s="39">
        <v>0</v>
      </c>
      <c r="BC20" s="39">
        <v>0</v>
      </c>
      <c r="BD20" s="39">
        <v>0</v>
      </c>
      <c r="BE20" s="39">
        <v>0</v>
      </c>
      <c r="BF20" s="39">
        <v>149</v>
      </c>
      <c r="BG20" s="39">
        <v>0</v>
      </c>
      <c r="BH20" s="39">
        <v>0</v>
      </c>
      <c r="BI20" s="39">
        <v>0</v>
      </c>
      <c r="BJ20" s="39">
        <v>1150</v>
      </c>
      <c r="BK20" s="39">
        <v>4</v>
      </c>
      <c r="BL20" s="39">
        <v>51</v>
      </c>
      <c r="BM20" s="39">
        <v>60</v>
      </c>
      <c r="BN20" s="39">
        <v>180</v>
      </c>
      <c r="BO20" s="39">
        <v>0</v>
      </c>
      <c r="BP20" s="39">
        <v>234</v>
      </c>
      <c r="BQ20" s="39">
        <v>300</v>
      </c>
      <c r="BR20" s="39">
        <v>53</v>
      </c>
      <c r="BS20" s="39">
        <v>173</v>
      </c>
      <c r="BT20" s="39">
        <v>35</v>
      </c>
      <c r="BU20" s="39">
        <v>51</v>
      </c>
      <c r="BV20" s="39">
        <v>50</v>
      </c>
      <c r="BW20" s="39">
        <v>103</v>
      </c>
      <c r="BX20" s="39">
        <v>8</v>
      </c>
      <c r="BY20" s="39">
        <v>20</v>
      </c>
      <c r="BZ20" s="39">
        <v>98</v>
      </c>
      <c r="CA20" s="39">
        <v>40</v>
      </c>
      <c r="CB20" s="39">
        <v>0</v>
      </c>
      <c r="CC20" s="39">
        <v>17</v>
      </c>
      <c r="CD20" s="39">
        <v>38</v>
      </c>
      <c r="CE20" s="39">
        <v>305</v>
      </c>
      <c r="CF20" s="39">
        <v>0</v>
      </c>
      <c r="CG20" s="39">
        <v>312</v>
      </c>
      <c r="CH20" s="39">
        <v>36</v>
      </c>
      <c r="CI20" s="39">
        <v>30</v>
      </c>
      <c r="CJ20" s="39">
        <v>0</v>
      </c>
      <c r="CK20" s="39">
        <v>137</v>
      </c>
      <c r="CL20" s="39">
        <v>0</v>
      </c>
      <c r="CM20" s="39">
        <v>0</v>
      </c>
      <c r="CN20" s="39">
        <v>81</v>
      </c>
      <c r="CO20" s="39">
        <v>70</v>
      </c>
      <c r="CP20" s="39">
        <v>0</v>
      </c>
      <c r="CQ20" s="39">
        <v>16</v>
      </c>
      <c r="CR20" s="39">
        <v>169</v>
      </c>
      <c r="CS20" s="39">
        <v>0</v>
      </c>
      <c r="CT20" s="39">
        <v>65</v>
      </c>
      <c r="CU20" s="39">
        <v>120</v>
      </c>
      <c r="CV20" s="39">
        <v>22</v>
      </c>
      <c r="CW20" s="39">
        <v>0</v>
      </c>
      <c r="CX20" s="39">
        <v>9.82</v>
      </c>
      <c r="CY20" s="39">
        <v>12</v>
      </c>
      <c r="CZ20" s="39">
        <v>6971.82</v>
      </c>
      <c r="DA20" s="39">
        <v>922</v>
      </c>
      <c r="DB20" s="39">
        <v>232</v>
      </c>
      <c r="DC20" s="39">
        <v>0</v>
      </c>
      <c r="DD20" s="39">
        <v>0</v>
      </c>
      <c r="DE20" s="39">
        <v>0</v>
      </c>
      <c r="DF20" s="39">
        <v>0</v>
      </c>
      <c r="DG20" s="39">
        <v>0</v>
      </c>
      <c r="DH20" s="39">
        <v>0</v>
      </c>
      <c r="DI20" s="39">
        <v>0</v>
      </c>
      <c r="DJ20" s="39">
        <v>0</v>
      </c>
      <c r="DK20" s="39">
        <v>0</v>
      </c>
      <c r="DL20" s="39">
        <v>21.15</v>
      </c>
      <c r="DM20" s="39">
        <v>877</v>
      </c>
      <c r="DN20" s="39">
        <v>0</v>
      </c>
      <c r="DO20" s="39">
        <v>1384.27</v>
      </c>
      <c r="DP20" s="39">
        <v>0</v>
      </c>
      <c r="DQ20" s="39">
        <v>0</v>
      </c>
      <c r="DR20" s="39">
        <v>0</v>
      </c>
      <c r="DS20" s="39">
        <v>0</v>
      </c>
      <c r="DT20" s="39">
        <v>0</v>
      </c>
      <c r="DU20" s="39">
        <v>0</v>
      </c>
      <c r="DV20" s="39">
        <v>0</v>
      </c>
      <c r="DW20" s="39">
        <v>0</v>
      </c>
      <c r="DX20" s="39">
        <v>0</v>
      </c>
      <c r="DY20" s="39">
        <v>22</v>
      </c>
      <c r="DZ20" s="39">
        <v>0</v>
      </c>
      <c r="EA20" s="39">
        <v>10.67</v>
      </c>
      <c r="EB20" s="39">
        <v>193</v>
      </c>
      <c r="EC20" s="39">
        <v>0</v>
      </c>
      <c r="ED20" s="39">
        <v>172</v>
      </c>
      <c r="EE20" s="39">
        <v>0</v>
      </c>
      <c r="EF20" s="39">
        <v>0</v>
      </c>
      <c r="EG20" s="39">
        <v>0</v>
      </c>
      <c r="EH20" s="39">
        <v>369</v>
      </c>
      <c r="EI20" s="39">
        <v>0</v>
      </c>
      <c r="EJ20" s="39">
        <v>0.77</v>
      </c>
      <c r="EK20" s="39">
        <v>0</v>
      </c>
      <c r="EL20" s="39">
        <v>162</v>
      </c>
      <c r="EM20" s="39">
        <v>49</v>
      </c>
      <c r="EN20" s="39">
        <v>35</v>
      </c>
      <c r="EO20" s="39">
        <v>6</v>
      </c>
      <c r="EP20" s="39">
        <v>34</v>
      </c>
      <c r="EQ20" s="39">
        <v>0</v>
      </c>
      <c r="ER20" s="39">
        <v>0</v>
      </c>
      <c r="ES20" s="39">
        <v>1.5</v>
      </c>
      <c r="ET20" s="39">
        <v>43</v>
      </c>
      <c r="EU20" s="39">
        <v>0.15</v>
      </c>
      <c r="EV20" s="39">
        <v>0</v>
      </c>
      <c r="EW20" s="39">
        <v>250</v>
      </c>
      <c r="EX20" s="39">
        <v>10</v>
      </c>
      <c r="EY20" s="39">
        <v>100</v>
      </c>
      <c r="EZ20" s="39">
        <v>220</v>
      </c>
      <c r="FA20" s="39">
        <v>0</v>
      </c>
      <c r="FB20" s="39">
        <v>453</v>
      </c>
      <c r="FC20" s="39">
        <v>1200</v>
      </c>
      <c r="FD20" s="39">
        <v>0</v>
      </c>
      <c r="FE20" s="39">
        <v>6767.51</v>
      </c>
      <c r="FF20" s="39">
        <v>13739.33</v>
      </c>
      <c r="FG20" s="39">
        <v>78.11</v>
      </c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</row>
    <row r="21" spans="1:189" s="37" customFormat="1" ht="39.950000000000003" customHeight="1" x14ac:dyDescent="0.3">
      <c r="A21" s="40" t="s">
        <v>540</v>
      </c>
      <c r="B21" s="39">
        <v>0</v>
      </c>
      <c r="C21" s="39">
        <v>17</v>
      </c>
      <c r="D21" s="39">
        <v>8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J21" s="39">
        <v>331</v>
      </c>
      <c r="K21" s="39">
        <v>0</v>
      </c>
      <c r="L21" s="39">
        <v>0</v>
      </c>
      <c r="M21" s="39">
        <v>0</v>
      </c>
      <c r="N21" s="39">
        <v>17</v>
      </c>
      <c r="O21" s="39">
        <v>88</v>
      </c>
      <c r="P21" s="39">
        <v>82</v>
      </c>
      <c r="Q21" s="39">
        <v>0</v>
      </c>
      <c r="R21" s="39">
        <v>0</v>
      </c>
      <c r="S21" s="39">
        <v>4</v>
      </c>
      <c r="T21" s="39">
        <v>35</v>
      </c>
      <c r="U21" s="39">
        <v>0</v>
      </c>
      <c r="V21" s="39">
        <v>0</v>
      </c>
      <c r="W21" s="39">
        <v>300</v>
      </c>
      <c r="X21" s="39">
        <v>293</v>
      </c>
      <c r="Y21" s="39">
        <v>250</v>
      </c>
      <c r="Z21" s="39">
        <v>0</v>
      </c>
      <c r="AA21" s="39">
        <v>0</v>
      </c>
      <c r="AB21" s="39">
        <v>0</v>
      </c>
      <c r="AC21" s="39">
        <v>250</v>
      </c>
      <c r="AD21" s="39">
        <v>0</v>
      </c>
      <c r="AE21" s="39">
        <v>0</v>
      </c>
      <c r="AF21" s="39">
        <v>13</v>
      </c>
      <c r="AG21" s="39">
        <v>52</v>
      </c>
      <c r="AH21" s="39">
        <v>23</v>
      </c>
      <c r="AI21" s="39">
        <v>22</v>
      </c>
      <c r="AJ21" s="39">
        <v>0</v>
      </c>
      <c r="AK21" s="39">
        <v>300</v>
      </c>
      <c r="AL21" s="39">
        <v>0</v>
      </c>
      <c r="AM21" s="39">
        <v>0</v>
      </c>
      <c r="AN21" s="39">
        <v>0</v>
      </c>
      <c r="AO21" s="39">
        <v>0</v>
      </c>
      <c r="AP21" s="39">
        <v>0</v>
      </c>
      <c r="AQ21" s="39">
        <v>17</v>
      </c>
      <c r="AR21" s="39">
        <v>0</v>
      </c>
      <c r="AS21" s="39">
        <v>0</v>
      </c>
      <c r="AT21" s="39">
        <v>70</v>
      </c>
      <c r="AU21" s="39">
        <v>12</v>
      </c>
      <c r="AV21" s="39">
        <v>2</v>
      </c>
      <c r="AW21" s="39">
        <v>40</v>
      </c>
      <c r="AX21" s="39">
        <v>0</v>
      </c>
      <c r="AY21" s="39">
        <v>9</v>
      </c>
      <c r="AZ21" s="39">
        <v>453</v>
      </c>
      <c r="BA21" s="39">
        <v>0</v>
      </c>
      <c r="BB21" s="39">
        <v>0</v>
      </c>
      <c r="BC21" s="39">
        <v>0</v>
      </c>
      <c r="BD21" s="39">
        <v>0</v>
      </c>
      <c r="BE21" s="39">
        <v>0</v>
      </c>
      <c r="BF21" s="39">
        <v>148</v>
      </c>
      <c r="BG21" s="39">
        <v>0</v>
      </c>
      <c r="BH21" s="39">
        <v>0</v>
      </c>
      <c r="BI21" s="39">
        <v>0</v>
      </c>
      <c r="BJ21" s="39">
        <v>1102</v>
      </c>
      <c r="BK21" s="39">
        <v>10</v>
      </c>
      <c r="BL21" s="39">
        <v>51</v>
      </c>
      <c r="BM21" s="39">
        <v>10</v>
      </c>
      <c r="BN21" s="39">
        <v>45</v>
      </c>
      <c r="BO21" s="39">
        <v>0</v>
      </c>
      <c r="BP21" s="39">
        <v>228</v>
      </c>
      <c r="BQ21" s="39">
        <v>345</v>
      </c>
      <c r="BR21" s="39">
        <v>5</v>
      </c>
      <c r="BS21" s="39">
        <v>211</v>
      </c>
      <c r="BT21" s="39">
        <v>35</v>
      </c>
      <c r="BU21" s="39">
        <v>50</v>
      </c>
      <c r="BV21" s="39">
        <v>70</v>
      </c>
      <c r="BW21" s="39">
        <v>104</v>
      </c>
      <c r="BX21" s="39">
        <v>8</v>
      </c>
      <c r="BY21" s="39">
        <v>20</v>
      </c>
      <c r="BZ21" s="39">
        <v>98</v>
      </c>
      <c r="CA21" s="39">
        <v>38</v>
      </c>
      <c r="CB21" s="39">
        <v>13</v>
      </c>
      <c r="CC21" s="39">
        <v>34</v>
      </c>
      <c r="CD21" s="39">
        <v>38</v>
      </c>
      <c r="CE21" s="39">
        <v>295</v>
      </c>
      <c r="CF21" s="39">
        <v>0</v>
      </c>
      <c r="CG21" s="39">
        <v>335</v>
      </c>
      <c r="CH21" s="39">
        <v>36</v>
      </c>
      <c r="CI21" s="39">
        <v>30</v>
      </c>
      <c r="CJ21" s="39">
        <v>0</v>
      </c>
      <c r="CK21" s="39">
        <v>148</v>
      </c>
      <c r="CL21" s="39">
        <v>0</v>
      </c>
      <c r="CM21" s="39">
        <v>0</v>
      </c>
      <c r="CN21" s="39">
        <v>80</v>
      </c>
      <c r="CO21" s="39">
        <v>30</v>
      </c>
      <c r="CP21" s="39">
        <v>0</v>
      </c>
      <c r="CQ21" s="39">
        <v>16</v>
      </c>
      <c r="CR21" s="39">
        <v>169</v>
      </c>
      <c r="CS21" s="39">
        <v>0</v>
      </c>
      <c r="CT21" s="39">
        <v>66</v>
      </c>
      <c r="CU21" s="39">
        <v>120</v>
      </c>
      <c r="CV21" s="39">
        <v>18</v>
      </c>
      <c r="CW21" s="39">
        <v>1</v>
      </c>
      <c r="CX21" s="39">
        <v>14.61</v>
      </c>
      <c r="CY21" s="39">
        <v>12</v>
      </c>
      <c r="CZ21" s="39">
        <v>6721.61</v>
      </c>
      <c r="DA21" s="39">
        <v>876</v>
      </c>
      <c r="DB21" s="39">
        <v>247</v>
      </c>
      <c r="DC21" s="39">
        <v>0</v>
      </c>
      <c r="DD21" s="39">
        <v>0</v>
      </c>
      <c r="DE21" s="39">
        <v>0</v>
      </c>
      <c r="DF21" s="39">
        <v>0</v>
      </c>
      <c r="DG21" s="39">
        <v>0</v>
      </c>
      <c r="DH21" s="39">
        <v>0</v>
      </c>
      <c r="DI21" s="39">
        <v>0</v>
      </c>
      <c r="DJ21" s="39">
        <v>0</v>
      </c>
      <c r="DK21" s="39">
        <v>0</v>
      </c>
      <c r="DL21" s="39">
        <v>48.35</v>
      </c>
      <c r="DM21" s="39">
        <v>1085</v>
      </c>
      <c r="DN21" s="39">
        <v>0</v>
      </c>
      <c r="DO21" s="39">
        <v>1325.66</v>
      </c>
      <c r="DP21" s="39">
        <v>0</v>
      </c>
      <c r="DQ21" s="39">
        <v>0</v>
      </c>
      <c r="DR21" s="39">
        <v>0</v>
      </c>
      <c r="DS21" s="39">
        <v>0</v>
      </c>
      <c r="DT21" s="39">
        <v>0</v>
      </c>
      <c r="DU21" s="39">
        <v>0</v>
      </c>
      <c r="DV21" s="39">
        <v>0</v>
      </c>
      <c r="DW21" s="39">
        <v>0</v>
      </c>
      <c r="DX21" s="39">
        <v>0</v>
      </c>
      <c r="DY21" s="39">
        <v>45</v>
      </c>
      <c r="DZ21" s="39">
        <v>0</v>
      </c>
      <c r="EA21" s="39">
        <v>23.12</v>
      </c>
      <c r="EB21" s="39">
        <v>207</v>
      </c>
      <c r="EC21" s="39">
        <v>0</v>
      </c>
      <c r="ED21" s="39">
        <v>198</v>
      </c>
      <c r="EE21" s="39">
        <v>0</v>
      </c>
      <c r="EF21" s="39">
        <v>0</v>
      </c>
      <c r="EG21" s="39">
        <v>0</v>
      </c>
      <c r="EH21" s="39">
        <v>383</v>
      </c>
      <c r="EI21" s="39">
        <v>0</v>
      </c>
      <c r="EJ21" s="39">
        <v>1.71</v>
      </c>
      <c r="EK21" s="39">
        <v>0</v>
      </c>
      <c r="EL21" s="39">
        <v>164</v>
      </c>
      <c r="EM21" s="39">
        <v>51</v>
      </c>
      <c r="EN21" s="39">
        <v>35</v>
      </c>
      <c r="EO21" s="39">
        <v>14</v>
      </c>
      <c r="EP21" s="39">
        <v>34</v>
      </c>
      <c r="EQ21" s="39">
        <v>0</v>
      </c>
      <c r="ER21" s="39">
        <v>0</v>
      </c>
      <c r="ES21" s="39">
        <v>2.4</v>
      </c>
      <c r="ET21" s="39">
        <v>84</v>
      </c>
      <c r="EU21" s="39">
        <v>0.32</v>
      </c>
      <c r="EV21" s="39">
        <v>0</v>
      </c>
      <c r="EW21" s="39">
        <v>250</v>
      </c>
      <c r="EX21" s="39">
        <v>7</v>
      </c>
      <c r="EY21" s="39">
        <v>100</v>
      </c>
      <c r="EZ21" s="39">
        <v>220</v>
      </c>
      <c r="FA21" s="39">
        <v>0</v>
      </c>
      <c r="FB21" s="39">
        <v>373</v>
      </c>
      <c r="FC21" s="39">
        <v>1100</v>
      </c>
      <c r="FD21" s="39">
        <v>0</v>
      </c>
      <c r="FE21" s="39">
        <v>6874.56</v>
      </c>
      <c r="FF21" s="39">
        <v>13596.17</v>
      </c>
      <c r="FG21" s="39">
        <v>78.099999999999994</v>
      </c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</row>
    <row r="22" spans="1:189" s="37" customFormat="1" ht="39.950000000000003" customHeight="1" x14ac:dyDescent="0.3">
      <c r="A22" s="40" t="s">
        <v>539</v>
      </c>
      <c r="B22" s="39">
        <v>0</v>
      </c>
      <c r="C22" s="39">
        <v>34</v>
      </c>
      <c r="D22" s="39">
        <v>8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345</v>
      </c>
      <c r="K22" s="39">
        <v>0</v>
      </c>
      <c r="L22" s="39">
        <v>0</v>
      </c>
      <c r="M22" s="39">
        <v>0</v>
      </c>
      <c r="N22" s="39">
        <v>17</v>
      </c>
      <c r="O22" s="39">
        <v>89</v>
      </c>
      <c r="P22" s="39">
        <v>82</v>
      </c>
      <c r="Q22" s="39">
        <v>0</v>
      </c>
      <c r="R22" s="39">
        <v>0</v>
      </c>
      <c r="S22" s="39">
        <v>35</v>
      </c>
      <c r="T22" s="39">
        <v>35</v>
      </c>
      <c r="U22" s="39">
        <v>0</v>
      </c>
      <c r="V22" s="39">
        <v>0</v>
      </c>
      <c r="W22" s="39">
        <v>300</v>
      </c>
      <c r="X22" s="39">
        <v>296</v>
      </c>
      <c r="Y22" s="39">
        <v>250</v>
      </c>
      <c r="Z22" s="39">
        <v>0</v>
      </c>
      <c r="AA22" s="39">
        <v>0</v>
      </c>
      <c r="AB22" s="39">
        <v>0</v>
      </c>
      <c r="AC22" s="39">
        <v>250</v>
      </c>
      <c r="AD22" s="39">
        <v>0</v>
      </c>
      <c r="AE22" s="39">
        <v>0</v>
      </c>
      <c r="AF22" s="39">
        <v>20</v>
      </c>
      <c r="AG22" s="39">
        <v>52</v>
      </c>
      <c r="AH22" s="39">
        <v>22</v>
      </c>
      <c r="AI22" s="39">
        <v>22</v>
      </c>
      <c r="AJ22" s="39">
        <v>0</v>
      </c>
      <c r="AK22" s="39">
        <v>300</v>
      </c>
      <c r="AL22" s="39">
        <v>0</v>
      </c>
      <c r="AM22" s="39">
        <v>0</v>
      </c>
      <c r="AN22" s="39">
        <v>0</v>
      </c>
      <c r="AO22" s="39">
        <v>0</v>
      </c>
      <c r="AP22" s="39">
        <v>0</v>
      </c>
      <c r="AQ22" s="39">
        <v>17</v>
      </c>
      <c r="AR22" s="39">
        <v>0</v>
      </c>
      <c r="AS22" s="39">
        <v>0</v>
      </c>
      <c r="AT22" s="39">
        <v>74</v>
      </c>
      <c r="AU22" s="39">
        <v>22</v>
      </c>
      <c r="AV22" s="39">
        <v>3</v>
      </c>
      <c r="AW22" s="39">
        <v>40</v>
      </c>
      <c r="AX22" s="39">
        <v>0</v>
      </c>
      <c r="AY22" s="39">
        <v>4</v>
      </c>
      <c r="AZ22" s="39">
        <v>453</v>
      </c>
      <c r="BA22" s="39">
        <v>0</v>
      </c>
      <c r="BB22" s="39">
        <v>0</v>
      </c>
      <c r="BC22" s="39">
        <v>0</v>
      </c>
      <c r="BD22" s="39">
        <v>0</v>
      </c>
      <c r="BE22" s="39">
        <v>0</v>
      </c>
      <c r="BF22" s="39">
        <v>145</v>
      </c>
      <c r="BG22" s="39">
        <v>0</v>
      </c>
      <c r="BH22" s="39">
        <v>0</v>
      </c>
      <c r="BI22" s="39">
        <v>0</v>
      </c>
      <c r="BJ22" s="39">
        <v>1102</v>
      </c>
      <c r="BK22" s="39">
        <v>17</v>
      </c>
      <c r="BL22" s="39">
        <v>51</v>
      </c>
      <c r="BM22" s="39">
        <v>0</v>
      </c>
      <c r="BN22" s="39">
        <v>45</v>
      </c>
      <c r="BO22" s="39">
        <v>0</v>
      </c>
      <c r="BP22" s="39">
        <v>224</v>
      </c>
      <c r="BQ22" s="39">
        <v>345</v>
      </c>
      <c r="BR22" s="39">
        <v>5</v>
      </c>
      <c r="BS22" s="39">
        <v>210</v>
      </c>
      <c r="BT22" s="39">
        <v>35</v>
      </c>
      <c r="BU22" s="39">
        <v>68</v>
      </c>
      <c r="BV22" s="39">
        <v>70</v>
      </c>
      <c r="BW22" s="39">
        <v>121</v>
      </c>
      <c r="BX22" s="39">
        <v>9</v>
      </c>
      <c r="BY22" s="39">
        <v>20</v>
      </c>
      <c r="BZ22" s="39">
        <v>98</v>
      </c>
      <c r="CA22" s="39">
        <v>28</v>
      </c>
      <c r="CB22" s="39">
        <v>52.2</v>
      </c>
      <c r="CC22" s="39">
        <v>48</v>
      </c>
      <c r="CD22" s="39">
        <v>37</v>
      </c>
      <c r="CE22" s="39">
        <v>300</v>
      </c>
      <c r="CF22" s="39">
        <v>0</v>
      </c>
      <c r="CG22" s="39">
        <v>325</v>
      </c>
      <c r="CH22" s="39">
        <v>36</v>
      </c>
      <c r="CI22" s="39">
        <v>30</v>
      </c>
      <c r="CJ22" s="39">
        <v>0</v>
      </c>
      <c r="CK22" s="39">
        <v>151</v>
      </c>
      <c r="CL22" s="39">
        <v>0</v>
      </c>
      <c r="CM22" s="39">
        <v>0</v>
      </c>
      <c r="CN22" s="39">
        <v>78</v>
      </c>
      <c r="CO22" s="39">
        <v>30</v>
      </c>
      <c r="CP22" s="39">
        <v>0</v>
      </c>
      <c r="CQ22" s="39">
        <v>17</v>
      </c>
      <c r="CR22" s="39">
        <v>171</v>
      </c>
      <c r="CS22" s="39">
        <v>0</v>
      </c>
      <c r="CT22" s="39">
        <v>66</v>
      </c>
      <c r="CU22" s="39">
        <v>118</v>
      </c>
      <c r="CV22" s="39">
        <v>18</v>
      </c>
      <c r="CW22" s="39">
        <v>1</v>
      </c>
      <c r="CX22" s="39">
        <v>31.82</v>
      </c>
      <c r="CY22" s="39">
        <v>12</v>
      </c>
      <c r="CZ22" s="39">
        <v>6885.02</v>
      </c>
      <c r="DA22" s="39">
        <v>876</v>
      </c>
      <c r="DB22" s="39">
        <v>243</v>
      </c>
      <c r="DC22" s="39">
        <v>0</v>
      </c>
      <c r="DD22" s="39">
        <v>0</v>
      </c>
      <c r="DE22" s="39">
        <v>0</v>
      </c>
      <c r="DF22" s="39">
        <v>0</v>
      </c>
      <c r="DG22" s="39">
        <v>0</v>
      </c>
      <c r="DH22" s="39">
        <v>0</v>
      </c>
      <c r="DI22" s="39">
        <v>0</v>
      </c>
      <c r="DJ22" s="39">
        <v>0</v>
      </c>
      <c r="DK22" s="39">
        <v>0</v>
      </c>
      <c r="DL22" s="39">
        <v>69.88</v>
      </c>
      <c r="DM22" s="39">
        <v>1127</v>
      </c>
      <c r="DN22" s="39">
        <v>0</v>
      </c>
      <c r="DO22" s="39">
        <v>1316.61</v>
      </c>
      <c r="DP22" s="39">
        <v>0</v>
      </c>
      <c r="DQ22" s="39">
        <v>0</v>
      </c>
      <c r="DR22" s="39">
        <v>0</v>
      </c>
      <c r="DS22" s="39">
        <v>0</v>
      </c>
      <c r="DT22" s="39">
        <v>0</v>
      </c>
      <c r="DU22" s="39">
        <v>0</v>
      </c>
      <c r="DV22" s="39">
        <v>0</v>
      </c>
      <c r="DW22" s="39">
        <v>0</v>
      </c>
      <c r="DX22" s="39">
        <v>0</v>
      </c>
      <c r="DY22" s="39">
        <v>70</v>
      </c>
      <c r="DZ22" s="39">
        <v>0</v>
      </c>
      <c r="EA22" s="39">
        <v>29.99</v>
      </c>
      <c r="EB22" s="39">
        <v>206</v>
      </c>
      <c r="EC22" s="39">
        <v>0</v>
      </c>
      <c r="ED22" s="39">
        <v>202</v>
      </c>
      <c r="EE22" s="39">
        <v>0</v>
      </c>
      <c r="EF22" s="39">
        <v>0</v>
      </c>
      <c r="EG22" s="39">
        <v>0</v>
      </c>
      <c r="EH22" s="39">
        <v>386</v>
      </c>
      <c r="EI22" s="39">
        <v>0</v>
      </c>
      <c r="EJ22" s="39">
        <v>0</v>
      </c>
      <c r="EK22" s="39">
        <v>0</v>
      </c>
      <c r="EL22" s="39">
        <v>167</v>
      </c>
      <c r="EM22" s="39">
        <v>52</v>
      </c>
      <c r="EN22" s="39">
        <v>35</v>
      </c>
      <c r="EO22" s="39">
        <v>21</v>
      </c>
      <c r="EP22" s="39">
        <v>34</v>
      </c>
      <c r="EQ22" s="39">
        <v>0</v>
      </c>
      <c r="ER22" s="39">
        <v>0</v>
      </c>
      <c r="ES22" s="39">
        <v>4.9000000000000004</v>
      </c>
      <c r="ET22" s="39">
        <v>124</v>
      </c>
      <c r="EU22" s="39">
        <v>0.49</v>
      </c>
      <c r="EV22" s="39">
        <v>0</v>
      </c>
      <c r="EW22" s="39">
        <v>250</v>
      </c>
      <c r="EX22" s="39">
        <v>9</v>
      </c>
      <c r="EY22" s="39">
        <v>105</v>
      </c>
      <c r="EZ22" s="39">
        <v>220</v>
      </c>
      <c r="FA22" s="39">
        <v>0</v>
      </c>
      <c r="FB22" s="39">
        <v>283</v>
      </c>
      <c r="FC22" s="39">
        <v>1098</v>
      </c>
      <c r="FD22" s="39">
        <v>0</v>
      </c>
      <c r="FE22" s="39">
        <v>6929.87</v>
      </c>
      <c r="FF22" s="39">
        <v>13814.89</v>
      </c>
      <c r="FG22" s="39">
        <v>78.09</v>
      </c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</row>
    <row r="23" spans="1:189" s="37" customFormat="1" ht="39.950000000000003" customHeight="1" x14ac:dyDescent="0.3">
      <c r="A23" s="40" t="s">
        <v>538</v>
      </c>
      <c r="B23" s="39">
        <v>0</v>
      </c>
      <c r="C23" s="39">
        <v>34</v>
      </c>
      <c r="D23" s="39">
        <v>16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340</v>
      </c>
      <c r="K23" s="39">
        <v>0</v>
      </c>
      <c r="L23" s="39">
        <v>0</v>
      </c>
      <c r="M23" s="39">
        <v>2</v>
      </c>
      <c r="N23" s="39">
        <v>17</v>
      </c>
      <c r="O23" s="39">
        <v>110</v>
      </c>
      <c r="P23" s="39">
        <v>81</v>
      </c>
      <c r="Q23" s="39">
        <v>45</v>
      </c>
      <c r="R23" s="39">
        <v>1</v>
      </c>
      <c r="S23" s="39">
        <v>35</v>
      </c>
      <c r="T23" s="39">
        <v>86</v>
      </c>
      <c r="U23" s="39">
        <v>0</v>
      </c>
      <c r="V23" s="39">
        <v>0</v>
      </c>
      <c r="W23" s="39">
        <v>300</v>
      </c>
      <c r="X23" s="39">
        <v>292</v>
      </c>
      <c r="Y23" s="39">
        <v>250</v>
      </c>
      <c r="Z23" s="39">
        <v>0</v>
      </c>
      <c r="AA23" s="39">
        <v>0</v>
      </c>
      <c r="AB23" s="39">
        <v>0</v>
      </c>
      <c r="AC23" s="39">
        <v>250</v>
      </c>
      <c r="AD23" s="39">
        <v>0</v>
      </c>
      <c r="AE23" s="39">
        <v>0</v>
      </c>
      <c r="AF23" s="39">
        <v>27</v>
      </c>
      <c r="AG23" s="39">
        <v>52</v>
      </c>
      <c r="AH23" s="39">
        <v>22</v>
      </c>
      <c r="AI23" s="39">
        <v>22</v>
      </c>
      <c r="AJ23" s="39">
        <v>0</v>
      </c>
      <c r="AK23" s="39">
        <v>300</v>
      </c>
      <c r="AL23" s="39">
        <v>0</v>
      </c>
      <c r="AM23" s="39">
        <v>0</v>
      </c>
      <c r="AN23" s="39">
        <v>0</v>
      </c>
      <c r="AO23" s="39">
        <v>0</v>
      </c>
      <c r="AP23" s="39">
        <v>0</v>
      </c>
      <c r="AQ23" s="39">
        <v>17</v>
      </c>
      <c r="AR23" s="39">
        <v>0</v>
      </c>
      <c r="AS23" s="39">
        <v>0</v>
      </c>
      <c r="AT23" s="39">
        <v>87</v>
      </c>
      <c r="AU23" s="39">
        <v>44</v>
      </c>
      <c r="AV23" s="39">
        <v>4</v>
      </c>
      <c r="AW23" s="39">
        <v>40</v>
      </c>
      <c r="AX23" s="39">
        <v>0</v>
      </c>
      <c r="AY23" s="39">
        <v>5</v>
      </c>
      <c r="AZ23" s="39">
        <v>452</v>
      </c>
      <c r="BA23" s="39">
        <v>0</v>
      </c>
      <c r="BB23" s="39">
        <v>0</v>
      </c>
      <c r="BC23" s="39">
        <v>0</v>
      </c>
      <c r="BD23" s="39">
        <v>0</v>
      </c>
      <c r="BE23" s="39">
        <v>0</v>
      </c>
      <c r="BF23" s="39">
        <v>141</v>
      </c>
      <c r="BG23" s="39">
        <v>0</v>
      </c>
      <c r="BH23" s="39">
        <v>0</v>
      </c>
      <c r="BI23" s="39">
        <v>0</v>
      </c>
      <c r="BJ23" s="39">
        <v>1100</v>
      </c>
      <c r="BK23" s="39">
        <v>14</v>
      </c>
      <c r="BL23" s="39">
        <v>51</v>
      </c>
      <c r="BM23" s="39">
        <v>0</v>
      </c>
      <c r="BN23" s="39">
        <v>45</v>
      </c>
      <c r="BO23" s="39">
        <v>0</v>
      </c>
      <c r="BP23" s="39">
        <v>221</v>
      </c>
      <c r="BQ23" s="39">
        <v>340</v>
      </c>
      <c r="BR23" s="39">
        <v>7</v>
      </c>
      <c r="BS23" s="39">
        <v>208</v>
      </c>
      <c r="BT23" s="39">
        <v>35</v>
      </c>
      <c r="BU23" s="39">
        <v>68</v>
      </c>
      <c r="BV23" s="39">
        <v>70</v>
      </c>
      <c r="BW23" s="39">
        <v>169</v>
      </c>
      <c r="BX23" s="39">
        <v>8</v>
      </c>
      <c r="BY23" s="39">
        <v>20</v>
      </c>
      <c r="BZ23" s="39">
        <v>114</v>
      </c>
      <c r="CA23" s="39">
        <v>34</v>
      </c>
      <c r="CB23" s="39">
        <v>52.2</v>
      </c>
      <c r="CC23" s="39">
        <v>58</v>
      </c>
      <c r="CD23" s="39">
        <v>28</v>
      </c>
      <c r="CE23" s="39">
        <v>300</v>
      </c>
      <c r="CF23" s="39">
        <v>0</v>
      </c>
      <c r="CG23" s="39">
        <v>350</v>
      </c>
      <c r="CH23" s="39">
        <v>38</v>
      </c>
      <c r="CI23" s="39">
        <v>30</v>
      </c>
      <c r="CJ23" s="39">
        <v>0</v>
      </c>
      <c r="CK23" s="39">
        <v>149</v>
      </c>
      <c r="CL23" s="39">
        <v>0</v>
      </c>
      <c r="CM23" s="39">
        <v>0</v>
      </c>
      <c r="CN23" s="39">
        <v>77</v>
      </c>
      <c r="CO23" s="39">
        <v>30</v>
      </c>
      <c r="CP23" s="39">
        <v>0</v>
      </c>
      <c r="CQ23" s="39">
        <v>17</v>
      </c>
      <c r="CR23" s="39">
        <v>172</v>
      </c>
      <c r="CS23" s="39">
        <v>0</v>
      </c>
      <c r="CT23" s="39">
        <v>64</v>
      </c>
      <c r="CU23" s="39">
        <v>116</v>
      </c>
      <c r="CV23" s="39">
        <v>16</v>
      </c>
      <c r="CW23" s="39">
        <v>1</v>
      </c>
      <c r="CX23" s="39">
        <v>38.520000000000003</v>
      </c>
      <c r="CY23" s="39">
        <v>12</v>
      </c>
      <c r="CZ23" s="39">
        <v>7124.72</v>
      </c>
      <c r="DA23" s="39">
        <v>923</v>
      </c>
      <c r="DB23" s="39">
        <v>238</v>
      </c>
      <c r="DC23" s="39">
        <v>0</v>
      </c>
      <c r="DD23" s="39">
        <v>0</v>
      </c>
      <c r="DE23" s="39">
        <v>0</v>
      </c>
      <c r="DF23" s="39">
        <v>0</v>
      </c>
      <c r="DG23" s="39">
        <v>0</v>
      </c>
      <c r="DH23" s="39">
        <v>0</v>
      </c>
      <c r="DI23" s="39">
        <v>0</v>
      </c>
      <c r="DJ23" s="39">
        <v>0</v>
      </c>
      <c r="DK23" s="39">
        <v>0</v>
      </c>
      <c r="DL23" s="39">
        <v>84.63</v>
      </c>
      <c r="DM23" s="39">
        <v>1072</v>
      </c>
      <c r="DN23" s="39">
        <v>0</v>
      </c>
      <c r="DO23" s="39">
        <v>1253.9100000000001</v>
      </c>
      <c r="DP23" s="39">
        <v>0</v>
      </c>
      <c r="DQ23" s="39">
        <v>0</v>
      </c>
      <c r="DR23" s="39">
        <v>0</v>
      </c>
      <c r="DS23" s="39">
        <v>0</v>
      </c>
      <c r="DT23" s="39">
        <v>0</v>
      </c>
      <c r="DU23" s="39">
        <v>0</v>
      </c>
      <c r="DV23" s="39">
        <v>0</v>
      </c>
      <c r="DW23" s="39">
        <v>0</v>
      </c>
      <c r="DX23" s="39">
        <v>0</v>
      </c>
      <c r="DY23" s="39">
        <v>90</v>
      </c>
      <c r="DZ23" s="39">
        <v>0</v>
      </c>
      <c r="EA23" s="39">
        <v>32.340000000000003</v>
      </c>
      <c r="EB23" s="39">
        <v>204</v>
      </c>
      <c r="EC23" s="39">
        <v>0</v>
      </c>
      <c r="ED23" s="39">
        <v>200</v>
      </c>
      <c r="EE23" s="39">
        <v>0</v>
      </c>
      <c r="EF23" s="39">
        <v>0</v>
      </c>
      <c r="EG23" s="39">
        <v>0</v>
      </c>
      <c r="EH23" s="39">
        <v>351</v>
      </c>
      <c r="EI23" s="39">
        <v>0</v>
      </c>
      <c r="EJ23" s="39">
        <v>1.97</v>
      </c>
      <c r="EK23" s="39">
        <v>0</v>
      </c>
      <c r="EL23" s="39">
        <v>162</v>
      </c>
      <c r="EM23" s="39">
        <v>51</v>
      </c>
      <c r="EN23" s="39">
        <v>35</v>
      </c>
      <c r="EO23" s="39">
        <v>28</v>
      </c>
      <c r="EP23" s="39">
        <v>34</v>
      </c>
      <c r="EQ23" s="39">
        <v>0</v>
      </c>
      <c r="ER23" s="39">
        <v>0</v>
      </c>
      <c r="ES23" s="39">
        <v>6.4</v>
      </c>
      <c r="ET23" s="39">
        <v>161</v>
      </c>
      <c r="EU23" s="39">
        <v>0.57999999999999996</v>
      </c>
      <c r="EV23" s="39">
        <v>0</v>
      </c>
      <c r="EW23" s="39">
        <v>250</v>
      </c>
      <c r="EX23" s="39">
        <v>9</v>
      </c>
      <c r="EY23" s="39">
        <v>115</v>
      </c>
      <c r="EZ23" s="39">
        <v>220</v>
      </c>
      <c r="FA23" s="39">
        <v>0</v>
      </c>
      <c r="FB23" s="39">
        <v>262</v>
      </c>
      <c r="FC23" s="39">
        <v>1050</v>
      </c>
      <c r="FD23" s="39">
        <v>0</v>
      </c>
      <c r="FE23" s="39">
        <v>6834.83</v>
      </c>
      <c r="FF23" s="39">
        <v>13959.55</v>
      </c>
      <c r="FG23" s="39">
        <v>78.08</v>
      </c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</row>
    <row r="24" spans="1:189" s="37" customFormat="1" ht="39.950000000000003" customHeight="1" x14ac:dyDescent="0.3">
      <c r="A24" s="40" t="s">
        <v>537</v>
      </c>
      <c r="B24" s="39">
        <v>4</v>
      </c>
      <c r="C24" s="39">
        <v>34</v>
      </c>
      <c r="D24" s="39">
        <v>16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368</v>
      </c>
      <c r="K24" s="39">
        <v>0</v>
      </c>
      <c r="L24" s="39">
        <v>0</v>
      </c>
      <c r="M24" s="39">
        <v>17</v>
      </c>
      <c r="N24" s="39">
        <v>17</v>
      </c>
      <c r="O24" s="39">
        <v>112</v>
      </c>
      <c r="P24" s="39">
        <v>78</v>
      </c>
      <c r="Q24" s="39">
        <v>145</v>
      </c>
      <c r="R24" s="39">
        <v>16</v>
      </c>
      <c r="S24" s="39">
        <v>35</v>
      </c>
      <c r="T24" s="39">
        <v>90</v>
      </c>
      <c r="U24" s="39">
        <v>0</v>
      </c>
      <c r="V24" s="39">
        <v>0</v>
      </c>
      <c r="W24" s="39">
        <v>300</v>
      </c>
      <c r="X24" s="39">
        <v>285</v>
      </c>
      <c r="Y24" s="39">
        <v>250</v>
      </c>
      <c r="Z24" s="39">
        <v>0</v>
      </c>
      <c r="AA24" s="39">
        <v>0</v>
      </c>
      <c r="AB24" s="39">
        <v>0</v>
      </c>
      <c r="AC24" s="39">
        <v>250</v>
      </c>
      <c r="AD24" s="39">
        <v>0</v>
      </c>
      <c r="AE24" s="39">
        <v>0</v>
      </c>
      <c r="AF24" s="39">
        <v>24</v>
      </c>
      <c r="AG24" s="39">
        <v>52</v>
      </c>
      <c r="AH24" s="39">
        <v>21</v>
      </c>
      <c r="AI24" s="39">
        <v>20</v>
      </c>
      <c r="AJ24" s="39">
        <v>0</v>
      </c>
      <c r="AK24" s="39">
        <v>300</v>
      </c>
      <c r="AL24" s="39">
        <v>0</v>
      </c>
      <c r="AM24" s="39">
        <v>0</v>
      </c>
      <c r="AN24" s="39">
        <v>0</v>
      </c>
      <c r="AO24" s="39">
        <v>0</v>
      </c>
      <c r="AP24" s="39">
        <v>0</v>
      </c>
      <c r="AQ24" s="39">
        <v>17</v>
      </c>
      <c r="AR24" s="39">
        <v>0</v>
      </c>
      <c r="AS24" s="39">
        <v>0</v>
      </c>
      <c r="AT24" s="39">
        <v>87</v>
      </c>
      <c r="AU24" s="39">
        <v>80</v>
      </c>
      <c r="AV24" s="39">
        <v>4</v>
      </c>
      <c r="AW24" s="39">
        <v>40</v>
      </c>
      <c r="AX24" s="39">
        <v>0</v>
      </c>
      <c r="AY24" s="39">
        <v>5</v>
      </c>
      <c r="AZ24" s="39">
        <v>500</v>
      </c>
      <c r="BA24" s="39">
        <v>0</v>
      </c>
      <c r="BB24" s="39">
        <v>0</v>
      </c>
      <c r="BC24" s="39">
        <v>0</v>
      </c>
      <c r="BD24" s="39">
        <v>1</v>
      </c>
      <c r="BE24" s="39">
        <v>0</v>
      </c>
      <c r="BF24" s="39">
        <v>140</v>
      </c>
      <c r="BG24" s="39">
        <v>0</v>
      </c>
      <c r="BH24" s="39">
        <v>0</v>
      </c>
      <c r="BI24" s="39">
        <v>0</v>
      </c>
      <c r="BJ24" s="39">
        <v>1100</v>
      </c>
      <c r="BK24" s="39">
        <v>13</v>
      </c>
      <c r="BL24" s="39">
        <v>51</v>
      </c>
      <c r="BM24" s="39">
        <v>2</v>
      </c>
      <c r="BN24" s="39">
        <v>65</v>
      </c>
      <c r="BO24" s="39">
        <v>0</v>
      </c>
      <c r="BP24" s="39">
        <v>209</v>
      </c>
      <c r="BQ24" s="39">
        <v>330</v>
      </c>
      <c r="BR24" s="39">
        <v>24</v>
      </c>
      <c r="BS24" s="39">
        <v>204</v>
      </c>
      <c r="BT24" s="39">
        <v>31</v>
      </c>
      <c r="BU24" s="39">
        <v>69</v>
      </c>
      <c r="BV24" s="39">
        <v>50</v>
      </c>
      <c r="BW24" s="39">
        <v>200</v>
      </c>
      <c r="BX24" s="39">
        <v>8</v>
      </c>
      <c r="BY24" s="39">
        <v>19</v>
      </c>
      <c r="BZ24" s="39">
        <v>114</v>
      </c>
      <c r="CA24" s="39">
        <v>32</v>
      </c>
      <c r="CB24" s="39">
        <v>52.2</v>
      </c>
      <c r="CC24" s="39">
        <v>59</v>
      </c>
      <c r="CD24" s="39">
        <v>28</v>
      </c>
      <c r="CE24" s="39">
        <v>320</v>
      </c>
      <c r="CF24" s="39">
        <v>0</v>
      </c>
      <c r="CG24" s="39">
        <v>351</v>
      </c>
      <c r="CH24" s="39">
        <v>36</v>
      </c>
      <c r="CI24" s="39">
        <v>30</v>
      </c>
      <c r="CJ24" s="39">
        <v>0</v>
      </c>
      <c r="CK24" s="39">
        <v>155</v>
      </c>
      <c r="CL24" s="39">
        <v>0</v>
      </c>
      <c r="CM24" s="39">
        <v>0</v>
      </c>
      <c r="CN24" s="39">
        <v>79</v>
      </c>
      <c r="CO24" s="39">
        <v>28</v>
      </c>
      <c r="CP24" s="39">
        <v>0</v>
      </c>
      <c r="CQ24" s="39">
        <v>17</v>
      </c>
      <c r="CR24" s="39">
        <v>174</v>
      </c>
      <c r="CS24" s="39">
        <v>0</v>
      </c>
      <c r="CT24" s="39">
        <v>64</v>
      </c>
      <c r="CU24" s="39">
        <v>117</v>
      </c>
      <c r="CV24" s="39">
        <v>10</v>
      </c>
      <c r="CW24" s="39">
        <v>2</v>
      </c>
      <c r="CX24" s="39">
        <v>35.369999999999997</v>
      </c>
      <c r="CY24" s="39">
        <v>12</v>
      </c>
      <c r="CZ24" s="39">
        <v>7398.57</v>
      </c>
      <c r="DA24" s="39">
        <v>923</v>
      </c>
      <c r="DB24" s="39">
        <v>230</v>
      </c>
      <c r="DC24" s="39">
        <v>0</v>
      </c>
      <c r="DD24" s="39">
        <v>0</v>
      </c>
      <c r="DE24" s="39">
        <v>0</v>
      </c>
      <c r="DF24" s="39">
        <v>0</v>
      </c>
      <c r="DG24" s="39">
        <v>0</v>
      </c>
      <c r="DH24" s="39">
        <v>0</v>
      </c>
      <c r="DI24" s="39">
        <v>0</v>
      </c>
      <c r="DJ24" s="39">
        <v>0</v>
      </c>
      <c r="DK24" s="39">
        <v>0</v>
      </c>
      <c r="DL24" s="39">
        <v>92.66</v>
      </c>
      <c r="DM24" s="39">
        <v>1066</v>
      </c>
      <c r="DN24" s="39">
        <v>0</v>
      </c>
      <c r="DO24" s="39">
        <v>1266.55</v>
      </c>
      <c r="DP24" s="39">
        <v>0</v>
      </c>
      <c r="DQ24" s="39">
        <v>0</v>
      </c>
      <c r="DR24" s="39">
        <v>0</v>
      </c>
      <c r="DS24" s="39">
        <v>0</v>
      </c>
      <c r="DT24" s="39">
        <v>0</v>
      </c>
      <c r="DU24" s="39">
        <v>0</v>
      </c>
      <c r="DV24" s="39">
        <v>0</v>
      </c>
      <c r="DW24" s="39">
        <v>0</v>
      </c>
      <c r="DX24" s="39">
        <v>0</v>
      </c>
      <c r="DY24" s="39">
        <v>100</v>
      </c>
      <c r="DZ24" s="39">
        <v>0</v>
      </c>
      <c r="EA24" s="39">
        <v>49.2</v>
      </c>
      <c r="EB24" s="39">
        <v>203</v>
      </c>
      <c r="EC24" s="39">
        <v>0</v>
      </c>
      <c r="ED24" s="39">
        <v>197</v>
      </c>
      <c r="EE24" s="39">
        <v>0</v>
      </c>
      <c r="EF24" s="39">
        <v>0</v>
      </c>
      <c r="EG24" s="39">
        <v>0</v>
      </c>
      <c r="EH24" s="39">
        <v>400</v>
      </c>
      <c r="EI24" s="39">
        <v>0</v>
      </c>
      <c r="EJ24" s="39">
        <v>4.13</v>
      </c>
      <c r="EK24" s="39">
        <v>0</v>
      </c>
      <c r="EL24" s="39">
        <v>165</v>
      </c>
      <c r="EM24" s="39">
        <v>51</v>
      </c>
      <c r="EN24" s="39">
        <v>35</v>
      </c>
      <c r="EO24" s="39">
        <v>32</v>
      </c>
      <c r="EP24" s="39">
        <v>34</v>
      </c>
      <c r="EQ24" s="39">
        <v>0</v>
      </c>
      <c r="ER24" s="39">
        <v>0</v>
      </c>
      <c r="ES24" s="39">
        <v>7.2</v>
      </c>
      <c r="ET24" s="39">
        <v>178</v>
      </c>
      <c r="EU24" s="39">
        <v>0.66</v>
      </c>
      <c r="EV24" s="39">
        <v>0</v>
      </c>
      <c r="EW24" s="39">
        <v>250</v>
      </c>
      <c r="EX24" s="39">
        <v>9</v>
      </c>
      <c r="EY24" s="39">
        <v>115</v>
      </c>
      <c r="EZ24" s="39">
        <v>220</v>
      </c>
      <c r="FA24" s="39">
        <v>0</v>
      </c>
      <c r="FB24" s="39">
        <v>310</v>
      </c>
      <c r="FC24" s="39">
        <v>1045</v>
      </c>
      <c r="FD24" s="39">
        <v>0</v>
      </c>
      <c r="FE24" s="39">
        <v>6983.4</v>
      </c>
      <c r="FF24" s="39">
        <v>14381.97</v>
      </c>
      <c r="FG24" s="39">
        <v>78.069999999999993</v>
      </c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</row>
    <row r="25" spans="1:189" s="37" customFormat="1" ht="39.950000000000003" customHeight="1" x14ac:dyDescent="0.3">
      <c r="A25" s="40" t="s">
        <v>536</v>
      </c>
      <c r="B25" s="39">
        <v>8</v>
      </c>
      <c r="C25" s="39">
        <v>34</v>
      </c>
      <c r="D25" s="39">
        <v>30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364</v>
      </c>
      <c r="K25" s="39">
        <v>0</v>
      </c>
      <c r="L25" s="39">
        <v>0</v>
      </c>
      <c r="M25" s="39">
        <v>17</v>
      </c>
      <c r="N25" s="39">
        <v>17</v>
      </c>
      <c r="O25" s="39">
        <v>108</v>
      </c>
      <c r="P25" s="39">
        <v>78</v>
      </c>
      <c r="Q25" s="39">
        <v>195</v>
      </c>
      <c r="R25" s="39">
        <v>50</v>
      </c>
      <c r="S25" s="41">
        <v>35</v>
      </c>
      <c r="T25" s="39">
        <v>90</v>
      </c>
      <c r="U25" s="39">
        <v>0</v>
      </c>
      <c r="V25" s="39">
        <v>10</v>
      </c>
      <c r="W25" s="39">
        <v>300</v>
      </c>
      <c r="X25" s="39">
        <v>292</v>
      </c>
      <c r="Y25" s="39">
        <v>250</v>
      </c>
      <c r="Z25" s="39">
        <v>0</v>
      </c>
      <c r="AA25" s="39">
        <v>17</v>
      </c>
      <c r="AB25" s="39">
        <v>0</v>
      </c>
      <c r="AC25" s="39">
        <v>250</v>
      </c>
      <c r="AD25" s="39">
        <v>0</v>
      </c>
      <c r="AE25" s="39">
        <v>0</v>
      </c>
      <c r="AF25" s="39">
        <v>30</v>
      </c>
      <c r="AG25" s="39">
        <v>52</v>
      </c>
      <c r="AH25" s="39">
        <v>21</v>
      </c>
      <c r="AI25" s="39">
        <v>20</v>
      </c>
      <c r="AJ25" s="39">
        <v>0</v>
      </c>
      <c r="AK25" s="39">
        <v>300</v>
      </c>
      <c r="AL25" s="39">
        <v>0</v>
      </c>
      <c r="AM25" s="39">
        <v>0</v>
      </c>
      <c r="AN25" s="39">
        <v>0</v>
      </c>
      <c r="AO25" s="39">
        <v>0</v>
      </c>
      <c r="AP25" s="39">
        <v>1</v>
      </c>
      <c r="AQ25" s="39">
        <v>17</v>
      </c>
      <c r="AR25" s="39">
        <v>16</v>
      </c>
      <c r="AS25" s="39">
        <v>0</v>
      </c>
      <c r="AT25" s="39">
        <v>87</v>
      </c>
      <c r="AU25" s="39">
        <v>88</v>
      </c>
      <c r="AV25" s="39">
        <v>4</v>
      </c>
      <c r="AW25" s="39">
        <v>40</v>
      </c>
      <c r="AX25" s="39">
        <v>1</v>
      </c>
      <c r="AY25" s="39">
        <v>0</v>
      </c>
      <c r="AZ25" s="39">
        <v>505</v>
      </c>
      <c r="BA25" s="39">
        <v>0</v>
      </c>
      <c r="BB25" s="39">
        <v>0</v>
      </c>
      <c r="BC25" s="39">
        <v>24</v>
      </c>
      <c r="BD25" s="39">
        <v>8</v>
      </c>
      <c r="BE25" s="39">
        <v>5</v>
      </c>
      <c r="BF25" s="39">
        <v>141</v>
      </c>
      <c r="BG25" s="39">
        <v>0</v>
      </c>
      <c r="BH25" s="39">
        <v>0</v>
      </c>
      <c r="BI25" s="39">
        <v>0</v>
      </c>
      <c r="BJ25" s="39">
        <v>1150</v>
      </c>
      <c r="BK25" s="39">
        <v>17</v>
      </c>
      <c r="BL25" s="39">
        <v>51</v>
      </c>
      <c r="BM25" s="39">
        <v>45</v>
      </c>
      <c r="BN25" s="39">
        <v>63</v>
      </c>
      <c r="BO25" s="39">
        <v>0</v>
      </c>
      <c r="BP25" s="39">
        <v>220</v>
      </c>
      <c r="BQ25" s="39">
        <v>335</v>
      </c>
      <c r="BR25" s="39">
        <v>30</v>
      </c>
      <c r="BS25" s="39">
        <v>207</v>
      </c>
      <c r="BT25" s="39">
        <v>29</v>
      </c>
      <c r="BU25" s="39">
        <v>69</v>
      </c>
      <c r="BV25" s="39">
        <v>50</v>
      </c>
      <c r="BW25" s="39">
        <v>200</v>
      </c>
      <c r="BX25" s="39">
        <v>8</v>
      </c>
      <c r="BY25" s="39">
        <v>19</v>
      </c>
      <c r="BZ25" s="39">
        <v>114</v>
      </c>
      <c r="CA25" s="39">
        <v>38</v>
      </c>
      <c r="CB25" s="39">
        <v>52.2</v>
      </c>
      <c r="CC25" s="39">
        <v>67</v>
      </c>
      <c r="CD25" s="39">
        <v>27</v>
      </c>
      <c r="CE25" s="39">
        <v>310</v>
      </c>
      <c r="CF25" s="39">
        <v>0</v>
      </c>
      <c r="CG25" s="39">
        <v>323</v>
      </c>
      <c r="CH25" s="39">
        <v>36</v>
      </c>
      <c r="CI25" s="39">
        <v>30</v>
      </c>
      <c r="CJ25" s="39">
        <v>0</v>
      </c>
      <c r="CK25" s="39">
        <v>152</v>
      </c>
      <c r="CL25" s="39">
        <v>0</v>
      </c>
      <c r="CM25" s="39">
        <v>0</v>
      </c>
      <c r="CN25" s="39">
        <v>78</v>
      </c>
      <c r="CO25" s="39">
        <v>28</v>
      </c>
      <c r="CP25" s="39">
        <v>0</v>
      </c>
      <c r="CQ25" s="39">
        <v>16</v>
      </c>
      <c r="CR25" s="39">
        <v>173</v>
      </c>
      <c r="CS25" s="39">
        <v>0</v>
      </c>
      <c r="CT25" s="39">
        <v>64</v>
      </c>
      <c r="CU25" s="39">
        <v>115</v>
      </c>
      <c r="CV25" s="39">
        <v>10</v>
      </c>
      <c r="CW25" s="39">
        <v>2</v>
      </c>
      <c r="CX25" s="39">
        <v>45</v>
      </c>
      <c r="CY25" s="39">
        <v>12</v>
      </c>
      <c r="CZ25" s="39">
        <v>7690.2</v>
      </c>
      <c r="DA25" s="39">
        <v>922</v>
      </c>
      <c r="DB25" s="39">
        <v>222</v>
      </c>
      <c r="DC25" s="39">
        <v>0</v>
      </c>
      <c r="DD25" s="39">
        <v>0</v>
      </c>
      <c r="DE25" s="39">
        <v>0</v>
      </c>
      <c r="DF25" s="39">
        <v>0</v>
      </c>
      <c r="DG25" s="39">
        <v>0</v>
      </c>
      <c r="DH25" s="39">
        <v>0</v>
      </c>
      <c r="DI25" s="39">
        <v>0</v>
      </c>
      <c r="DJ25" s="39">
        <v>0</v>
      </c>
      <c r="DK25" s="39">
        <v>0</v>
      </c>
      <c r="DL25" s="39">
        <v>94.63</v>
      </c>
      <c r="DM25" s="39">
        <v>1082</v>
      </c>
      <c r="DN25" s="39">
        <v>0</v>
      </c>
      <c r="DO25" s="39">
        <v>1362.57</v>
      </c>
      <c r="DP25" s="39">
        <v>0</v>
      </c>
      <c r="DQ25" s="39">
        <v>0</v>
      </c>
      <c r="DR25" s="39">
        <v>0</v>
      </c>
      <c r="DS25" s="39">
        <v>3</v>
      </c>
      <c r="DT25" s="39">
        <v>0</v>
      </c>
      <c r="DU25" s="39">
        <v>0</v>
      </c>
      <c r="DV25" s="39">
        <v>0</v>
      </c>
      <c r="DW25" s="39">
        <v>0</v>
      </c>
      <c r="DX25" s="39">
        <v>0</v>
      </c>
      <c r="DY25" s="39">
        <v>102</v>
      </c>
      <c r="DZ25" s="39">
        <v>0</v>
      </c>
      <c r="EA25" s="39">
        <v>50.74</v>
      </c>
      <c r="EB25" s="39">
        <v>202</v>
      </c>
      <c r="EC25" s="39">
        <v>0</v>
      </c>
      <c r="ED25" s="39">
        <v>197</v>
      </c>
      <c r="EE25" s="39">
        <v>0</v>
      </c>
      <c r="EF25" s="39">
        <v>0</v>
      </c>
      <c r="EG25" s="39">
        <v>0</v>
      </c>
      <c r="EH25" s="39">
        <v>360</v>
      </c>
      <c r="EI25" s="39">
        <v>0</v>
      </c>
      <c r="EJ25" s="39">
        <v>4.42</v>
      </c>
      <c r="EK25" s="39">
        <v>0</v>
      </c>
      <c r="EL25" s="39">
        <v>164</v>
      </c>
      <c r="EM25" s="39">
        <v>50</v>
      </c>
      <c r="EN25" s="39">
        <v>35</v>
      </c>
      <c r="EO25" s="39">
        <v>32</v>
      </c>
      <c r="EP25" s="39">
        <v>34</v>
      </c>
      <c r="EQ25" s="39">
        <v>0</v>
      </c>
      <c r="ER25" s="39">
        <v>0</v>
      </c>
      <c r="ES25" s="39">
        <v>7.5</v>
      </c>
      <c r="ET25" s="39">
        <v>188</v>
      </c>
      <c r="EU25" s="39">
        <v>0.67</v>
      </c>
      <c r="EV25" s="39">
        <v>0</v>
      </c>
      <c r="EW25" s="39">
        <v>250</v>
      </c>
      <c r="EX25" s="39">
        <v>9</v>
      </c>
      <c r="EY25" s="39">
        <v>105</v>
      </c>
      <c r="EZ25" s="39">
        <v>220</v>
      </c>
      <c r="FA25" s="39">
        <v>0</v>
      </c>
      <c r="FB25" s="39">
        <v>310</v>
      </c>
      <c r="FC25" s="39">
        <v>1039</v>
      </c>
      <c r="FD25" s="39">
        <v>0</v>
      </c>
      <c r="FE25" s="39">
        <v>7046.53</v>
      </c>
      <c r="FF25" s="39">
        <v>14736.73</v>
      </c>
      <c r="FG25" s="39">
        <v>78.06</v>
      </c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</row>
    <row r="26" spans="1:189" s="37" customFormat="1" ht="39.950000000000003" customHeight="1" x14ac:dyDescent="0.3">
      <c r="A26" s="40" t="s">
        <v>535</v>
      </c>
      <c r="B26" s="39">
        <v>16</v>
      </c>
      <c r="C26" s="39">
        <v>52</v>
      </c>
      <c r="D26" s="39">
        <v>30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367</v>
      </c>
      <c r="K26" s="39">
        <v>0</v>
      </c>
      <c r="L26" s="39">
        <v>0</v>
      </c>
      <c r="M26" s="39">
        <v>17</v>
      </c>
      <c r="N26" s="39">
        <v>17</v>
      </c>
      <c r="O26" s="39">
        <v>103</v>
      </c>
      <c r="P26" s="39">
        <v>75</v>
      </c>
      <c r="Q26" s="39">
        <v>195</v>
      </c>
      <c r="R26" s="39">
        <v>55</v>
      </c>
      <c r="S26" s="39">
        <v>35</v>
      </c>
      <c r="T26" s="39">
        <v>90</v>
      </c>
      <c r="U26" s="39">
        <v>0</v>
      </c>
      <c r="V26" s="39">
        <v>22</v>
      </c>
      <c r="W26" s="39">
        <v>300</v>
      </c>
      <c r="X26" s="39">
        <v>288</v>
      </c>
      <c r="Y26" s="39">
        <v>250</v>
      </c>
      <c r="Z26" s="39">
        <v>0</v>
      </c>
      <c r="AA26" s="39">
        <v>35</v>
      </c>
      <c r="AB26" s="39">
        <v>0</v>
      </c>
      <c r="AC26" s="39">
        <v>250</v>
      </c>
      <c r="AD26" s="39">
        <v>0</v>
      </c>
      <c r="AE26" s="39">
        <v>0</v>
      </c>
      <c r="AF26" s="39">
        <v>28</v>
      </c>
      <c r="AG26" s="39">
        <v>90</v>
      </c>
      <c r="AH26" s="39">
        <v>20.5</v>
      </c>
      <c r="AI26" s="39">
        <v>20</v>
      </c>
      <c r="AJ26" s="39">
        <v>0</v>
      </c>
      <c r="AK26" s="39">
        <v>300</v>
      </c>
      <c r="AL26" s="39">
        <v>0</v>
      </c>
      <c r="AM26" s="39">
        <v>0</v>
      </c>
      <c r="AN26" s="39">
        <v>0</v>
      </c>
      <c r="AO26" s="39">
        <v>0</v>
      </c>
      <c r="AP26" s="39">
        <v>9</v>
      </c>
      <c r="AQ26" s="39">
        <v>16</v>
      </c>
      <c r="AR26" s="39">
        <v>32</v>
      </c>
      <c r="AS26" s="39">
        <v>0</v>
      </c>
      <c r="AT26" s="39">
        <v>87</v>
      </c>
      <c r="AU26" s="39">
        <v>88</v>
      </c>
      <c r="AV26" s="39">
        <v>3</v>
      </c>
      <c r="AW26" s="39">
        <v>40</v>
      </c>
      <c r="AX26" s="39">
        <v>18</v>
      </c>
      <c r="AY26" s="39">
        <v>0</v>
      </c>
      <c r="AZ26" s="39">
        <v>505</v>
      </c>
      <c r="BA26" s="39">
        <v>53</v>
      </c>
      <c r="BB26" s="39">
        <v>0</v>
      </c>
      <c r="BC26" s="39">
        <v>50</v>
      </c>
      <c r="BD26" s="39">
        <v>8</v>
      </c>
      <c r="BE26" s="39">
        <v>19</v>
      </c>
      <c r="BF26" s="39">
        <v>137</v>
      </c>
      <c r="BG26" s="39">
        <v>0</v>
      </c>
      <c r="BH26" s="39">
        <v>0</v>
      </c>
      <c r="BI26" s="39">
        <v>0</v>
      </c>
      <c r="BJ26" s="39">
        <v>1150</v>
      </c>
      <c r="BK26" s="39">
        <v>16</v>
      </c>
      <c r="BL26" s="39">
        <v>51</v>
      </c>
      <c r="BM26" s="39">
        <v>88</v>
      </c>
      <c r="BN26" s="39">
        <v>90</v>
      </c>
      <c r="BO26" s="39">
        <v>0</v>
      </c>
      <c r="BP26" s="39">
        <v>208</v>
      </c>
      <c r="BQ26" s="39">
        <v>325</v>
      </c>
      <c r="BR26" s="39">
        <v>30</v>
      </c>
      <c r="BS26" s="39">
        <v>204</v>
      </c>
      <c r="BT26" s="39">
        <v>28</v>
      </c>
      <c r="BU26" s="39">
        <v>69</v>
      </c>
      <c r="BV26" s="39">
        <v>50</v>
      </c>
      <c r="BW26" s="39">
        <v>200</v>
      </c>
      <c r="BX26" s="39">
        <v>8</v>
      </c>
      <c r="BY26" s="39">
        <v>19</v>
      </c>
      <c r="BZ26" s="39">
        <v>114</v>
      </c>
      <c r="CA26" s="39">
        <v>48</v>
      </c>
      <c r="CB26" s="39">
        <v>52.2</v>
      </c>
      <c r="CC26" s="39">
        <v>64</v>
      </c>
      <c r="CD26" s="39">
        <v>26</v>
      </c>
      <c r="CE26" s="39">
        <v>315</v>
      </c>
      <c r="CF26" s="39">
        <v>0</v>
      </c>
      <c r="CG26" s="39">
        <v>350</v>
      </c>
      <c r="CH26" s="39">
        <v>36</v>
      </c>
      <c r="CI26" s="39">
        <v>30</v>
      </c>
      <c r="CJ26" s="39">
        <v>0</v>
      </c>
      <c r="CK26" s="39">
        <v>152</v>
      </c>
      <c r="CL26" s="39">
        <v>8</v>
      </c>
      <c r="CM26" s="39">
        <v>0</v>
      </c>
      <c r="CN26" s="39">
        <v>78</v>
      </c>
      <c r="CO26" s="39">
        <v>25</v>
      </c>
      <c r="CP26" s="39">
        <v>0</v>
      </c>
      <c r="CQ26" s="39">
        <v>16</v>
      </c>
      <c r="CR26" s="39">
        <v>173</v>
      </c>
      <c r="CS26" s="39">
        <v>17</v>
      </c>
      <c r="CT26" s="39">
        <v>64</v>
      </c>
      <c r="CU26" s="39">
        <v>102</v>
      </c>
      <c r="CV26" s="39">
        <v>5</v>
      </c>
      <c r="CW26" s="39">
        <v>2</v>
      </c>
      <c r="CX26" s="39">
        <v>40.81</v>
      </c>
      <c r="CY26" s="39">
        <v>7</v>
      </c>
      <c r="CZ26" s="39">
        <v>7981.51</v>
      </c>
      <c r="DA26" s="39">
        <v>922</v>
      </c>
      <c r="DB26" s="39">
        <v>215</v>
      </c>
      <c r="DC26" s="39">
        <v>0</v>
      </c>
      <c r="DD26" s="39">
        <v>0</v>
      </c>
      <c r="DE26" s="39">
        <v>0</v>
      </c>
      <c r="DF26" s="39">
        <v>0</v>
      </c>
      <c r="DG26" s="39">
        <v>0</v>
      </c>
      <c r="DH26" s="39">
        <v>0</v>
      </c>
      <c r="DI26" s="39">
        <v>0</v>
      </c>
      <c r="DJ26" s="39">
        <v>0</v>
      </c>
      <c r="DK26" s="39">
        <v>0</v>
      </c>
      <c r="DL26" s="39">
        <v>91.96</v>
      </c>
      <c r="DM26" s="39">
        <v>1110</v>
      </c>
      <c r="DN26" s="39">
        <v>7</v>
      </c>
      <c r="DO26" s="39">
        <v>1357.8</v>
      </c>
      <c r="DP26" s="39">
        <v>0</v>
      </c>
      <c r="DQ26" s="39">
        <v>0</v>
      </c>
      <c r="DR26" s="39">
        <v>0</v>
      </c>
      <c r="DS26" s="39">
        <v>45</v>
      </c>
      <c r="DT26" s="39">
        <v>0</v>
      </c>
      <c r="DU26" s="39">
        <v>0</v>
      </c>
      <c r="DV26" s="39">
        <v>0</v>
      </c>
      <c r="DW26" s="39">
        <v>0</v>
      </c>
      <c r="DX26" s="39">
        <v>0</v>
      </c>
      <c r="DY26" s="39">
        <v>99</v>
      </c>
      <c r="DZ26" s="39">
        <v>0</v>
      </c>
      <c r="EA26" s="39">
        <v>49.91</v>
      </c>
      <c r="EB26" s="39">
        <v>198</v>
      </c>
      <c r="EC26" s="39">
        <v>0</v>
      </c>
      <c r="ED26" s="39">
        <v>194</v>
      </c>
      <c r="EE26" s="39">
        <v>0</v>
      </c>
      <c r="EF26" s="39">
        <v>0</v>
      </c>
      <c r="EG26" s="39">
        <v>0</v>
      </c>
      <c r="EH26" s="39">
        <v>396</v>
      </c>
      <c r="EI26" s="39">
        <v>0</v>
      </c>
      <c r="EJ26" s="39">
        <v>4.13</v>
      </c>
      <c r="EK26" s="39">
        <v>0</v>
      </c>
      <c r="EL26" s="39">
        <v>164</v>
      </c>
      <c r="EM26" s="39">
        <v>51</v>
      </c>
      <c r="EN26" s="39">
        <v>65</v>
      </c>
      <c r="EO26" s="39">
        <v>31</v>
      </c>
      <c r="EP26" s="39">
        <v>40</v>
      </c>
      <c r="EQ26" s="39">
        <v>0</v>
      </c>
      <c r="ER26" s="39">
        <v>0</v>
      </c>
      <c r="ES26" s="39">
        <v>6.8</v>
      </c>
      <c r="ET26" s="39">
        <v>178</v>
      </c>
      <c r="EU26" s="39">
        <v>0.61</v>
      </c>
      <c r="EV26" s="39">
        <v>0</v>
      </c>
      <c r="EW26" s="39">
        <v>250</v>
      </c>
      <c r="EX26" s="39">
        <v>9</v>
      </c>
      <c r="EY26" s="39">
        <v>115</v>
      </c>
      <c r="EZ26" s="39">
        <v>220</v>
      </c>
      <c r="FA26" s="39">
        <v>0</v>
      </c>
      <c r="FB26" s="39">
        <v>310</v>
      </c>
      <c r="FC26" s="39">
        <v>1047</v>
      </c>
      <c r="FD26" s="39">
        <v>0</v>
      </c>
      <c r="FE26" s="39">
        <v>7177.21</v>
      </c>
      <c r="FF26" s="39">
        <v>15158.72</v>
      </c>
      <c r="FG26" s="39">
        <v>78.05</v>
      </c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</row>
    <row r="27" spans="1:189" s="37" customFormat="1" ht="39.950000000000003" customHeight="1" x14ac:dyDescent="0.3">
      <c r="A27" s="40" t="s">
        <v>534</v>
      </c>
      <c r="B27" s="39">
        <v>16</v>
      </c>
      <c r="C27" s="39">
        <v>52</v>
      </c>
      <c r="D27" s="39">
        <v>30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365</v>
      </c>
      <c r="K27" s="39">
        <v>0</v>
      </c>
      <c r="L27" s="39">
        <v>0</v>
      </c>
      <c r="M27" s="39">
        <v>17</v>
      </c>
      <c r="N27" s="39">
        <v>15</v>
      </c>
      <c r="O27" s="39">
        <v>89</v>
      </c>
      <c r="P27" s="39">
        <v>75</v>
      </c>
      <c r="Q27" s="39">
        <v>195</v>
      </c>
      <c r="R27" s="39">
        <v>55</v>
      </c>
      <c r="S27" s="39">
        <v>35</v>
      </c>
      <c r="T27" s="39">
        <v>90</v>
      </c>
      <c r="U27" s="39">
        <v>0</v>
      </c>
      <c r="V27" s="39">
        <v>41</v>
      </c>
      <c r="W27" s="39">
        <v>300</v>
      </c>
      <c r="X27" s="39">
        <v>278</v>
      </c>
      <c r="Y27" s="39">
        <v>250</v>
      </c>
      <c r="Z27" s="39">
        <v>0</v>
      </c>
      <c r="AA27" s="39">
        <v>35</v>
      </c>
      <c r="AB27" s="39">
        <v>0</v>
      </c>
      <c r="AC27" s="39">
        <v>250</v>
      </c>
      <c r="AD27" s="39">
        <v>0</v>
      </c>
      <c r="AE27" s="39">
        <v>0</v>
      </c>
      <c r="AF27" s="39">
        <v>25</v>
      </c>
      <c r="AG27" s="39">
        <v>90</v>
      </c>
      <c r="AH27" s="39">
        <v>20</v>
      </c>
      <c r="AI27" s="39">
        <v>20</v>
      </c>
      <c r="AJ27" s="39">
        <v>0</v>
      </c>
      <c r="AK27" s="39">
        <v>300</v>
      </c>
      <c r="AL27" s="39">
        <v>0</v>
      </c>
      <c r="AM27" s="39">
        <v>0</v>
      </c>
      <c r="AN27" s="39">
        <v>0</v>
      </c>
      <c r="AO27" s="39">
        <v>0</v>
      </c>
      <c r="AP27" s="39">
        <v>10</v>
      </c>
      <c r="AQ27" s="39">
        <v>16</v>
      </c>
      <c r="AR27" s="39">
        <v>38</v>
      </c>
      <c r="AS27" s="39">
        <v>0</v>
      </c>
      <c r="AT27" s="39">
        <v>87</v>
      </c>
      <c r="AU27" s="39">
        <v>100</v>
      </c>
      <c r="AV27" s="39">
        <v>1</v>
      </c>
      <c r="AW27" s="39">
        <v>40</v>
      </c>
      <c r="AX27" s="39">
        <v>34</v>
      </c>
      <c r="AY27" s="39">
        <v>2</v>
      </c>
      <c r="AZ27" s="39">
        <v>505</v>
      </c>
      <c r="BA27" s="39">
        <v>143</v>
      </c>
      <c r="BB27" s="39">
        <v>0</v>
      </c>
      <c r="BC27" s="39">
        <v>50</v>
      </c>
      <c r="BD27" s="39">
        <v>9</v>
      </c>
      <c r="BE27" s="39">
        <v>34</v>
      </c>
      <c r="BF27" s="39">
        <v>140</v>
      </c>
      <c r="BG27" s="39">
        <v>0</v>
      </c>
      <c r="BH27" s="39">
        <v>0</v>
      </c>
      <c r="BI27" s="39">
        <v>0</v>
      </c>
      <c r="BJ27" s="39">
        <v>1150</v>
      </c>
      <c r="BK27" s="39">
        <v>15</v>
      </c>
      <c r="BL27" s="39">
        <v>51</v>
      </c>
      <c r="BM27" s="39">
        <v>95</v>
      </c>
      <c r="BN27" s="39">
        <v>90</v>
      </c>
      <c r="BO27" s="39">
        <v>0</v>
      </c>
      <c r="BP27" s="39">
        <v>219</v>
      </c>
      <c r="BQ27" s="39">
        <v>335</v>
      </c>
      <c r="BR27" s="39">
        <v>37</v>
      </c>
      <c r="BS27" s="39">
        <v>204</v>
      </c>
      <c r="BT27" s="39">
        <v>29</v>
      </c>
      <c r="BU27" s="39">
        <v>69</v>
      </c>
      <c r="BV27" s="39">
        <v>50</v>
      </c>
      <c r="BW27" s="39">
        <v>200</v>
      </c>
      <c r="BX27" s="39">
        <v>8</v>
      </c>
      <c r="BY27" s="39">
        <v>19</v>
      </c>
      <c r="BZ27" s="39">
        <v>114</v>
      </c>
      <c r="CA27" s="39">
        <v>44</v>
      </c>
      <c r="CB27" s="39">
        <v>43</v>
      </c>
      <c r="CC27" s="39">
        <v>55</v>
      </c>
      <c r="CD27" s="39">
        <v>26</v>
      </c>
      <c r="CE27" s="39">
        <v>310</v>
      </c>
      <c r="CF27" s="39">
        <v>0</v>
      </c>
      <c r="CG27" s="39">
        <v>333</v>
      </c>
      <c r="CH27" s="39">
        <v>38</v>
      </c>
      <c r="CI27" s="39">
        <v>30</v>
      </c>
      <c r="CJ27" s="39">
        <v>0</v>
      </c>
      <c r="CK27" s="39">
        <v>152</v>
      </c>
      <c r="CL27" s="39">
        <v>8</v>
      </c>
      <c r="CM27" s="39">
        <v>0</v>
      </c>
      <c r="CN27" s="39">
        <v>77</v>
      </c>
      <c r="CO27" s="39">
        <v>28</v>
      </c>
      <c r="CP27" s="39">
        <v>0</v>
      </c>
      <c r="CQ27" s="39">
        <v>16</v>
      </c>
      <c r="CR27" s="39">
        <v>173</v>
      </c>
      <c r="CS27" s="39">
        <v>17</v>
      </c>
      <c r="CT27" s="39">
        <v>73</v>
      </c>
      <c r="CU27" s="39">
        <v>102</v>
      </c>
      <c r="CV27" s="39">
        <v>5</v>
      </c>
      <c r="CW27" s="39">
        <v>2</v>
      </c>
      <c r="CX27" s="39">
        <v>35.17</v>
      </c>
      <c r="CY27" s="39">
        <v>12</v>
      </c>
      <c r="CZ27" s="39">
        <v>8116.17</v>
      </c>
      <c r="DA27" s="39">
        <v>924</v>
      </c>
      <c r="DB27" s="39">
        <v>214</v>
      </c>
      <c r="DC27" s="39">
        <v>0</v>
      </c>
      <c r="DD27" s="39">
        <v>0</v>
      </c>
      <c r="DE27" s="39">
        <v>0</v>
      </c>
      <c r="DF27" s="39">
        <v>0</v>
      </c>
      <c r="DG27" s="39">
        <v>0</v>
      </c>
      <c r="DH27" s="39">
        <v>0</v>
      </c>
      <c r="DI27" s="39">
        <v>0</v>
      </c>
      <c r="DJ27" s="39">
        <v>0</v>
      </c>
      <c r="DK27" s="39">
        <v>0</v>
      </c>
      <c r="DL27" s="39">
        <v>81.8</v>
      </c>
      <c r="DM27" s="39">
        <v>1158</v>
      </c>
      <c r="DN27" s="39">
        <v>17</v>
      </c>
      <c r="DO27" s="39">
        <v>1362.17</v>
      </c>
      <c r="DP27" s="39">
        <v>0</v>
      </c>
      <c r="DQ27" s="39">
        <v>0</v>
      </c>
      <c r="DR27" s="39">
        <v>0</v>
      </c>
      <c r="DS27" s="39">
        <v>107</v>
      </c>
      <c r="DT27" s="39">
        <v>0</v>
      </c>
      <c r="DU27" s="39">
        <v>0</v>
      </c>
      <c r="DV27" s="39">
        <v>100</v>
      </c>
      <c r="DW27" s="39">
        <v>0</v>
      </c>
      <c r="DX27" s="39">
        <v>16</v>
      </c>
      <c r="DY27" s="39">
        <v>89</v>
      </c>
      <c r="DZ27" s="39">
        <v>0</v>
      </c>
      <c r="EA27" s="39">
        <v>43.34</v>
      </c>
      <c r="EB27" s="39">
        <v>198</v>
      </c>
      <c r="EC27" s="39">
        <v>0</v>
      </c>
      <c r="ED27" s="39">
        <v>191</v>
      </c>
      <c r="EE27" s="39">
        <v>0</v>
      </c>
      <c r="EF27" s="39">
        <v>0</v>
      </c>
      <c r="EG27" s="39">
        <v>0</v>
      </c>
      <c r="EH27" s="39">
        <v>354</v>
      </c>
      <c r="EI27" s="39">
        <v>0</v>
      </c>
      <c r="EJ27" s="39">
        <v>3.81</v>
      </c>
      <c r="EK27" s="39">
        <v>0</v>
      </c>
      <c r="EL27" s="39">
        <v>163</v>
      </c>
      <c r="EM27" s="39">
        <v>50</v>
      </c>
      <c r="EN27" s="39">
        <v>112</v>
      </c>
      <c r="EO27" s="39">
        <v>27</v>
      </c>
      <c r="EP27" s="39">
        <v>97</v>
      </c>
      <c r="EQ27" s="39">
        <v>0</v>
      </c>
      <c r="ER27" s="39">
        <v>0</v>
      </c>
      <c r="ES27" s="39">
        <v>4.7</v>
      </c>
      <c r="ET27" s="39">
        <v>158</v>
      </c>
      <c r="EU27" s="39">
        <v>0.56000000000000005</v>
      </c>
      <c r="EV27" s="39">
        <v>0</v>
      </c>
      <c r="EW27" s="39">
        <v>270</v>
      </c>
      <c r="EX27" s="39">
        <v>10</v>
      </c>
      <c r="EY27" s="39">
        <v>105</v>
      </c>
      <c r="EZ27" s="39">
        <v>220</v>
      </c>
      <c r="FA27" s="39">
        <v>0</v>
      </c>
      <c r="FB27" s="39">
        <v>311</v>
      </c>
      <c r="FC27" s="39">
        <v>1052</v>
      </c>
      <c r="FD27" s="39">
        <v>0</v>
      </c>
      <c r="FE27" s="39">
        <v>7439.38</v>
      </c>
      <c r="FF27" s="39">
        <v>15555.55</v>
      </c>
      <c r="FG27" s="39">
        <v>78.040000000000006</v>
      </c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</row>
    <row r="28" spans="1:189" s="37" customFormat="1" ht="39.950000000000003" customHeight="1" x14ac:dyDescent="0.3">
      <c r="A28" s="40" t="s">
        <v>533</v>
      </c>
      <c r="B28" s="39">
        <v>16</v>
      </c>
      <c r="C28" s="39">
        <v>52</v>
      </c>
      <c r="D28" s="39">
        <v>30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374</v>
      </c>
      <c r="K28" s="39">
        <v>0</v>
      </c>
      <c r="L28" s="39">
        <v>0</v>
      </c>
      <c r="M28" s="39">
        <v>17</v>
      </c>
      <c r="N28" s="39">
        <v>16</v>
      </c>
      <c r="O28" s="39">
        <v>95</v>
      </c>
      <c r="P28" s="39">
        <v>75</v>
      </c>
      <c r="Q28" s="39">
        <v>195</v>
      </c>
      <c r="R28" s="39">
        <v>55</v>
      </c>
      <c r="S28" s="39">
        <v>35</v>
      </c>
      <c r="T28" s="39">
        <v>90</v>
      </c>
      <c r="U28" s="39">
        <v>0</v>
      </c>
      <c r="V28" s="39">
        <v>50</v>
      </c>
      <c r="W28" s="39">
        <v>300</v>
      </c>
      <c r="X28" s="39">
        <v>285</v>
      </c>
      <c r="Y28" s="39">
        <v>250</v>
      </c>
      <c r="Z28" s="39">
        <v>0</v>
      </c>
      <c r="AA28" s="39">
        <v>35</v>
      </c>
      <c r="AB28" s="39">
        <v>0</v>
      </c>
      <c r="AC28" s="39">
        <v>250</v>
      </c>
      <c r="AD28" s="39">
        <v>0</v>
      </c>
      <c r="AE28" s="39">
        <v>0</v>
      </c>
      <c r="AF28" s="39">
        <v>20</v>
      </c>
      <c r="AG28" s="39">
        <v>90</v>
      </c>
      <c r="AH28" s="39">
        <v>19</v>
      </c>
      <c r="AI28" s="39">
        <v>20</v>
      </c>
      <c r="AJ28" s="39">
        <v>0</v>
      </c>
      <c r="AK28" s="39">
        <v>300</v>
      </c>
      <c r="AL28" s="39">
        <v>0</v>
      </c>
      <c r="AM28" s="39">
        <v>0</v>
      </c>
      <c r="AN28" s="39">
        <v>0</v>
      </c>
      <c r="AO28" s="39">
        <v>0</v>
      </c>
      <c r="AP28" s="39">
        <v>17</v>
      </c>
      <c r="AQ28" s="39">
        <v>16</v>
      </c>
      <c r="AR28" s="39">
        <v>39</v>
      </c>
      <c r="AS28" s="39">
        <v>0</v>
      </c>
      <c r="AT28" s="39">
        <v>87</v>
      </c>
      <c r="AU28" s="39">
        <v>100</v>
      </c>
      <c r="AV28" s="39">
        <v>1</v>
      </c>
      <c r="AW28" s="39">
        <v>37</v>
      </c>
      <c r="AX28" s="39">
        <v>34</v>
      </c>
      <c r="AY28" s="39">
        <v>2</v>
      </c>
      <c r="AZ28" s="39">
        <v>505</v>
      </c>
      <c r="BA28" s="39">
        <v>160</v>
      </c>
      <c r="BB28" s="39">
        <v>0</v>
      </c>
      <c r="BC28" s="39">
        <v>50</v>
      </c>
      <c r="BD28" s="39">
        <v>22</v>
      </c>
      <c r="BE28" s="39">
        <v>34</v>
      </c>
      <c r="BF28" s="39">
        <v>140</v>
      </c>
      <c r="BG28" s="39">
        <v>0</v>
      </c>
      <c r="BH28" s="39">
        <v>0</v>
      </c>
      <c r="BI28" s="39">
        <v>0</v>
      </c>
      <c r="BJ28" s="39">
        <v>1150</v>
      </c>
      <c r="BK28" s="39">
        <v>12</v>
      </c>
      <c r="BL28" s="39">
        <v>51</v>
      </c>
      <c r="BM28" s="39">
        <v>90</v>
      </c>
      <c r="BN28" s="39">
        <v>128</v>
      </c>
      <c r="BO28" s="39">
        <v>0</v>
      </c>
      <c r="BP28" s="39">
        <v>220</v>
      </c>
      <c r="BQ28" s="39">
        <v>335</v>
      </c>
      <c r="BR28" s="39">
        <v>41</v>
      </c>
      <c r="BS28" s="39">
        <v>190</v>
      </c>
      <c r="BT28" s="39">
        <v>29</v>
      </c>
      <c r="BU28" s="39">
        <v>69</v>
      </c>
      <c r="BV28" s="39">
        <v>50</v>
      </c>
      <c r="BW28" s="39">
        <v>200</v>
      </c>
      <c r="BX28" s="39">
        <v>12</v>
      </c>
      <c r="BY28" s="39">
        <v>16</v>
      </c>
      <c r="BZ28" s="39">
        <v>114</v>
      </c>
      <c r="CA28" s="39">
        <v>50</v>
      </c>
      <c r="CB28" s="39">
        <v>52.2</v>
      </c>
      <c r="CC28" s="39">
        <v>43</v>
      </c>
      <c r="CD28" s="39">
        <v>26</v>
      </c>
      <c r="CE28" s="39">
        <v>310</v>
      </c>
      <c r="CF28" s="39">
        <v>0</v>
      </c>
      <c r="CG28" s="39">
        <v>319</v>
      </c>
      <c r="CH28" s="39">
        <v>35</v>
      </c>
      <c r="CI28" s="39">
        <v>30</v>
      </c>
      <c r="CJ28" s="39">
        <v>0</v>
      </c>
      <c r="CK28" s="39">
        <v>151</v>
      </c>
      <c r="CL28" s="39">
        <v>8</v>
      </c>
      <c r="CM28" s="39">
        <v>0</v>
      </c>
      <c r="CN28" s="39">
        <v>77</v>
      </c>
      <c r="CO28" s="39">
        <v>30</v>
      </c>
      <c r="CP28" s="39">
        <v>0</v>
      </c>
      <c r="CQ28" s="39">
        <v>16</v>
      </c>
      <c r="CR28" s="39">
        <v>172</v>
      </c>
      <c r="CS28" s="39">
        <v>17</v>
      </c>
      <c r="CT28" s="39">
        <v>72</v>
      </c>
      <c r="CU28" s="39">
        <v>92</v>
      </c>
      <c r="CV28" s="39">
        <v>5</v>
      </c>
      <c r="CW28" s="39">
        <v>2</v>
      </c>
      <c r="CX28" s="39">
        <v>0.24</v>
      </c>
      <c r="CY28" s="39">
        <v>12</v>
      </c>
      <c r="CZ28" s="39">
        <v>8139.44</v>
      </c>
      <c r="DA28" s="39">
        <v>923</v>
      </c>
      <c r="DB28" s="39">
        <v>205</v>
      </c>
      <c r="DC28" s="39">
        <v>0</v>
      </c>
      <c r="DD28" s="39">
        <v>0</v>
      </c>
      <c r="DE28" s="39">
        <v>0</v>
      </c>
      <c r="DF28" s="39">
        <v>0</v>
      </c>
      <c r="DG28" s="39">
        <v>0</v>
      </c>
      <c r="DH28" s="39">
        <v>0</v>
      </c>
      <c r="DI28" s="39">
        <v>0</v>
      </c>
      <c r="DJ28" s="39">
        <v>0</v>
      </c>
      <c r="DK28" s="39">
        <v>0</v>
      </c>
      <c r="DL28" s="39">
        <v>62.44</v>
      </c>
      <c r="DM28" s="39">
        <v>1158</v>
      </c>
      <c r="DN28" s="39">
        <v>17</v>
      </c>
      <c r="DO28" s="39">
        <v>1366.57</v>
      </c>
      <c r="DP28" s="39">
        <v>0</v>
      </c>
      <c r="DQ28" s="39">
        <v>0</v>
      </c>
      <c r="DR28" s="39">
        <v>0</v>
      </c>
      <c r="DS28" s="39">
        <v>110</v>
      </c>
      <c r="DT28" s="39">
        <v>0</v>
      </c>
      <c r="DU28" s="39">
        <v>0</v>
      </c>
      <c r="DV28" s="39">
        <v>113</v>
      </c>
      <c r="DW28" s="39">
        <v>0</v>
      </c>
      <c r="DX28" s="39">
        <v>16</v>
      </c>
      <c r="DY28" s="39">
        <v>72</v>
      </c>
      <c r="DZ28" s="39">
        <v>0</v>
      </c>
      <c r="EA28" s="39">
        <v>33.97</v>
      </c>
      <c r="EB28" s="39">
        <v>198</v>
      </c>
      <c r="EC28" s="39">
        <v>0</v>
      </c>
      <c r="ED28" s="39">
        <v>192</v>
      </c>
      <c r="EE28" s="39">
        <v>0</v>
      </c>
      <c r="EF28" s="39">
        <v>0</v>
      </c>
      <c r="EG28" s="39">
        <v>0</v>
      </c>
      <c r="EH28" s="39">
        <v>360</v>
      </c>
      <c r="EI28" s="39">
        <v>0</v>
      </c>
      <c r="EJ28" s="39">
        <v>3.07</v>
      </c>
      <c r="EK28" s="39">
        <v>0</v>
      </c>
      <c r="EL28" s="39">
        <v>164</v>
      </c>
      <c r="EM28" s="39">
        <v>48</v>
      </c>
      <c r="EN28" s="39">
        <v>110</v>
      </c>
      <c r="EO28" s="39">
        <v>21</v>
      </c>
      <c r="EP28" s="39">
        <v>100</v>
      </c>
      <c r="EQ28" s="39">
        <v>0</v>
      </c>
      <c r="ER28" s="39">
        <v>0</v>
      </c>
      <c r="ES28" s="39">
        <v>2</v>
      </c>
      <c r="ET28" s="39">
        <v>112</v>
      </c>
      <c r="EU28" s="39">
        <v>0.44</v>
      </c>
      <c r="EV28" s="39">
        <v>0</v>
      </c>
      <c r="EW28" s="39">
        <v>270</v>
      </c>
      <c r="EX28" s="39">
        <v>10</v>
      </c>
      <c r="EY28" s="39">
        <v>105</v>
      </c>
      <c r="EZ28" s="39">
        <v>220</v>
      </c>
      <c r="FA28" s="39">
        <v>0</v>
      </c>
      <c r="FB28" s="39">
        <v>311</v>
      </c>
      <c r="FC28" s="39">
        <v>1000</v>
      </c>
      <c r="FD28" s="39">
        <v>0</v>
      </c>
      <c r="FE28" s="39">
        <v>7303.49</v>
      </c>
      <c r="FF28" s="39">
        <v>15442.93</v>
      </c>
      <c r="FG28" s="39">
        <v>78.03</v>
      </c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</row>
    <row r="29" spans="1:189" s="37" customFormat="1" ht="39.950000000000003" customHeight="1" x14ac:dyDescent="0.3">
      <c r="A29" s="40" t="s">
        <v>532</v>
      </c>
      <c r="B29" s="39">
        <v>32</v>
      </c>
      <c r="C29" s="39">
        <v>52</v>
      </c>
      <c r="D29" s="39">
        <v>30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339</v>
      </c>
      <c r="K29" s="39">
        <v>0</v>
      </c>
      <c r="L29" s="39">
        <v>0</v>
      </c>
      <c r="M29" s="39">
        <v>17</v>
      </c>
      <c r="N29" s="39">
        <v>16</v>
      </c>
      <c r="O29" s="39">
        <v>98</v>
      </c>
      <c r="P29" s="39">
        <v>75</v>
      </c>
      <c r="Q29" s="39">
        <v>145</v>
      </c>
      <c r="R29" s="39">
        <v>55</v>
      </c>
      <c r="S29" s="39">
        <v>35</v>
      </c>
      <c r="T29" s="39">
        <v>90</v>
      </c>
      <c r="U29" s="39">
        <v>0</v>
      </c>
      <c r="V29" s="39">
        <v>50</v>
      </c>
      <c r="W29" s="39">
        <v>300</v>
      </c>
      <c r="X29" s="39">
        <v>280</v>
      </c>
      <c r="Y29" s="39">
        <v>250</v>
      </c>
      <c r="Z29" s="39">
        <v>0</v>
      </c>
      <c r="AA29" s="39">
        <v>35</v>
      </c>
      <c r="AB29" s="39">
        <v>0</v>
      </c>
      <c r="AC29" s="39">
        <v>250</v>
      </c>
      <c r="AD29" s="39">
        <v>0</v>
      </c>
      <c r="AE29" s="39">
        <v>0</v>
      </c>
      <c r="AF29" s="39">
        <v>13</v>
      </c>
      <c r="AG29" s="39">
        <v>28</v>
      </c>
      <c r="AH29" s="39">
        <v>18</v>
      </c>
      <c r="AI29" s="39">
        <v>20</v>
      </c>
      <c r="AJ29" s="39">
        <v>0</v>
      </c>
      <c r="AK29" s="39">
        <v>300</v>
      </c>
      <c r="AL29" s="39">
        <v>0</v>
      </c>
      <c r="AM29" s="39">
        <v>0</v>
      </c>
      <c r="AN29" s="39">
        <v>24</v>
      </c>
      <c r="AO29" s="39">
        <v>0</v>
      </c>
      <c r="AP29" s="39">
        <v>9</v>
      </c>
      <c r="AQ29" s="39">
        <v>16</v>
      </c>
      <c r="AR29" s="39">
        <v>47</v>
      </c>
      <c r="AS29" s="39">
        <v>0</v>
      </c>
      <c r="AT29" s="39">
        <v>88</v>
      </c>
      <c r="AU29" s="39">
        <v>100</v>
      </c>
      <c r="AV29" s="39">
        <v>2</v>
      </c>
      <c r="AW29" s="39">
        <v>39</v>
      </c>
      <c r="AX29" s="39">
        <v>34</v>
      </c>
      <c r="AY29" s="39">
        <v>0</v>
      </c>
      <c r="AZ29" s="39">
        <v>500</v>
      </c>
      <c r="BA29" s="39">
        <v>108</v>
      </c>
      <c r="BB29" s="39">
        <v>0</v>
      </c>
      <c r="BC29" s="39">
        <v>50</v>
      </c>
      <c r="BD29" s="39">
        <v>25.5</v>
      </c>
      <c r="BE29" s="39">
        <v>17</v>
      </c>
      <c r="BF29" s="39">
        <v>141</v>
      </c>
      <c r="BG29" s="39">
        <v>0</v>
      </c>
      <c r="BH29" s="39">
        <v>0</v>
      </c>
      <c r="BI29" s="39">
        <v>0</v>
      </c>
      <c r="BJ29" s="39">
        <v>1150</v>
      </c>
      <c r="BK29" s="39">
        <v>7</v>
      </c>
      <c r="BL29" s="39">
        <v>51</v>
      </c>
      <c r="BM29" s="39">
        <v>102</v>
      </c>
      <c r="BN29" s="39">
        <v>150</v>
      </c>
      <c r="BO29" s="39">
        <v>0</v>
      </c>
      <c r="BP29" s="39">
        <v>251</v>
      </c>
      <c r="BQ29" s="39">
        <v>345</v>
      </c>
      <c r="BR29" s="39">
        <v>46</v>
      </c>
      <c r="BS29" s="39">
        <v>178</v>
      </c>
      <c r="BT29" s="39">
        <v>30</v>
      </c>
      <c r="BU29" s="39">
        <v>69</v>
      </c>
      <c r="BV29" s="39">
        <v>50</v>
      </c>
      <c r="BW29" s="39">
        <v>191</v>
      </c>
      <c r="BX29" s="39">
        <v>25</v>
      </c>
      <c r="BY29" s="39">
        <v>16</v>
      </c>
      <c r="BZ29" s="39">
        <v>114</v>
      </c>
      <c r="CA29" s="39">
        <v>48</v>
      </c>
      <c r="CB29" s="39">
        <v>52.2</v>
      </c>
      <c r="CC29" s="39">
        <v>26</v>
      </c>
      <c r="CD29" s="39">
        <v>26</v>
      </c>
      <c r="CE29" s="39">
        <v>300</v>
      </c>
      <c r="CF29" s="39">
        <v>0</v>
      </c>
      <c r="CG29" s="39">
        <v>313</v>
      </c>
      <c r="CH29" s="39">
        <v>35</v>
      </c>
      <c r="CI29" s="39">
        <v>30</v>
      </c>
      <c r="CJ29" s="39">
        <v>0</v>
      </c>
      <c r="CK29" s="39">
        <v>137</v>
      </c>
      <c r="CL29" s="39">
        <v>8</v>
      </c>
      <c r="CM29" s="39">
        <v>0</v>
      </c>
      <c r="CN29" s="39">
        <v>78</v>
      </c>
      <c r="CO29" s="39">
        <v>30</v>
      </c>
      <c r="CP29" s="39">
        <v>0</v>
      </c>
      <c r="CQ29" s="39">
        <v>16</v>
      </c>
      <c r="CR29" s="39">
        <v>172</v>
      </c>
      <c r="CS29" s="39">
        <v>0</v>
      </c>
      <c r="CT29" s="39">
        <v>74</v>
      </c>
      <c r="CU29" s="39">
        <v>101</v>
      </c>
      <c r="CV29" s="39">
        <v>10</v>
      </c>
      <c r="CW29" s="39">
        <v>1</v>
      </c>
      <c r="CX29" s="39">
        <v>1.9</v>
      </c>
      <c r="CY29" s="39">
        <v>12</v>
      </c>
      <c r="CZ29" s="39">
        <v>7974.6</v>
      </c>
      <c r="DA29" s="39">
        <v>922</v>
      </c>
      <c r="DB29" s="39">
        <v>204</v>
      </c>
      <c r="DC29" s="39">
        <v>0</v>
      </c>
      <c r="DD29" s="39">
        <v>0</v>
      </c>
      <c r="DE29" s="39">
        <v>0</v>
      </c>
      <c r="DF29" s="39">
        <v>0</v>
      </c>
      <c r="DG29" s="39">
        <v>0</v>
      </c>
      <c r="DH29" s="39">
        <v>0</v>
      </c>
      <c r="DI29" s="39">
        <v>0</v>
      </c>
      <c r="DJ29" s="39">
        <v>0</v>
      </c>
      <c r="DK29" s="39">
        <v>0</v>
      </c>
      <c r="DL29" s="39">
        <v>42.21</v>
      </c>
      <c r="DM29" s="39">
        <v>1102</v>
      </c>
      <c r="DN29" s="39">
        <v>17</v>
      </c>
      <c r="DO29" s="39">
        <v>1387.4</v>
      </c>
      <c r="DP29" s="39">
        <v>0</v>
      </c>
      <c r="DQ29" s="39">
        <v>0</v>
      </c>
      <c r="DR29" s="39">
        <v>0</v>
      </c>
      <c r="DS29" s="39">
        <v>110</v>
      </c>
      <c r="DT29" s="39">
        <v>4</v>
      </c>
      <c r="DU29" s="39">
        <v>60</v>
      </c>
      <c r="DV29" s="39">
        <v>10</v>
      </c>
      <c r="DW29" s="39">
        <v>0</v>
      </c>
      <c r="DX29" s="39">
        <v>8</v>
      </c>
      <c r="DY29" s="39">
        <v>50</v>
      </c>
      <c r="DZ29" s="39">
        <v>0</v>
      </c>
      <c r="EA29" s="39">
        <v>22.02</v>
      </c>
      <c r="EB29" s="39">
        <v>198</v>
      </c>
      <c r="EC29" s="39">
        <v>0</v>
      </c>
      <c r="ED29" s="39">
        <v>190</v>
      </c>
      <c r="EE29" s="39">
        <v>0</v>
      </c>
      <c r="EF29" s="39">
        <v>0</v>
      </c>
      <c r="EG29" s="39">
        <v>0</v>
      </c>
      <c r="EH29" s="39">
        <v>320</v>
      </c>
      <c r="EI29" s="39">
        <v>0</v>
      </c>
      <c r="EJ29" s="39">
        <v>1.98</v>
      </c>
      <c r="EK29" s="39">
        <v>0</v>
      </c>
      <c r="EL29" s="39">
        <v>164</v>
      </c>
      <c r="EM29" s="39">
        <v>51</v>
      </c>
      <c r="EN29" s="39">
        <v>95</v>
      </c>
      <c r="EO29" s="39">
        <v>13</v>
      </c>
      <c r="EP29" s="39">
        <v>107</v>
      </c>
      <c r="EQ29" s="39">
        <v>0</v>
      </c>
      <c r="ER29" s="39">
        <v>0</v>
      </c>
      <c r="ES29" s="39">
        <v>0.6</v>
      </c>
      <c r="ET29" s="39">
        <v>80</v>
      </c>
      <c r="EU29" s="39">
        <v>0.31</v>
      </c>
      <c r="EV29" s="39">
        <v>0</v>
      </c>
      <c r="EW29" s="39">
        <v>220</v>
      </c>
      <c r="EX29" s="39">
        <v>9</v>
      </c>
      <c r="EY29" s="39">
        <v>105</v>
      </c>
      <c r="EZ29" s="39">
        <v>220</v>
      </c>
      <c r="FA29" s="39">
        <v>0</v>
      </c>
      <c r="FB29" s="39">
        <v>268</v>
      </c>
      <c r="FC29" s="39">
        <v>900</v>
      </c>
      <c r="FD29" s="39">
        <v>0</v>
      </c>
      <c r="FE29" s="39">
        <v>6881.52</v>
      </c>
      <c r="FF29" s="39">
        <v>14856.12</v>
      </c>
      <c r="FG29" s="39">
        <v>78.02</v>
      </c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</row>
    <row r="30" spans="1:189" s="37" customFormat="1" ht="39.950000000000003" customHeight="1" x14ac:dyDescent="0.3">
      <c r="A30" s="40" t="s">
        <v>531</v>
      </c>
      <c r="B30" s="39">
        <v>50</v>
      </c>
      <c r="C30" s="39">
        <v>52</v>
      </c>
      <c r="D30" s="39">
        <v>30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337</v>
      </c>
      <c r="K30" s="39">
        <v>0</v>
      </c>
      <c r="L30" s="39">
        <v>0</v>
      </c>
      <c r="M30" s="39">
        <v>17</v>
      </c>
      <c r="N30" s="39">
        <v>16</v>
      </c>
      <c r="O30" s="39">
        <v>102</v>
      </c>
      <c r="P30" s="39">
        <v>75</v>
      </c>
      <c r="Q30" s="39">
        <v>145</v>
      </c>
      <c r="R30" s="39">
        <v>55</v>
      </c>
      <c r="S30" s="39">
        <v>35</v>
      </c>
      <c r="T30" s="39">
        <v>90</v>
      </c>
      <c r="U30" s="39">
        <v>0</v>
      </c>
      <c r="V30" s="39">
        <v>53</v>
      </c>
      <c r="W30" s="39">
        <v>300</v>
      </c>
      <c r="X30" s="39">
        <v>278</v>
      </c>
      <c r="Y30" s="39">
        <v>250</v>
      </c>
      <c r="Z30" s="39">
        <v>0</v>
      </c>
      <c r="AA30" s="39">
        <v>35</v>
      </c>
      <c r="AB30" s="39">
        <v>0</v>
      </c>
      <c r="AC30" s="39">
        <v>260</v>
      </c>
      <c r="AD30" s="39">
        <v>0</v>
      </c>
      <c r="AE30" s="39">
        <v>0</v>
      </c>
      <c r="AF30" s="39">
        <v>6</v>
      </c>
      <c r="AG30" s="39">
        <v>17</v>
      </c>
      <c r="AH30" s="39">
        <v>17</v>
      </c>
      <c r="AI30" s="39">
        <v>20</v>
      </c>
      <c r="AJ30" s="39">
        <v>0</v>
      </c>
      <c r="AK30" s="39">
        <v>300</v>
      </c>
      <c r="AL30" s="39">
        <v>0</v>
      </c>
      <c r="AM30" s="39">
        <v>0</v>
      </c>
      <c r="AN30" s="39">
        <v>61</v>
      </c>
      <c r="AO30" s="39">
        <v>0</v>
      </c>
      <c r="AP30" s="39">
        <v>4</v>
      </c>
      <c r="AQ30" s="39">
        <v>92</v>
      </c>
      <c r="AR30" s="39">
        <v>45</v>
      </c>
      <c r="AS30" s="39">
        <v>0</v>
      </c>
      <c r="AT30" s="39">
        <v>100</v>
      </c>
      <c r="AU30" s="39">
        <v>70</v>
      </c>
      <c r="AV30" s="39">
        <v>0</v>
      </c>
      <c r="AW30" s="39">
        <v>40</v>
      </c>
      <c r="AX30" s="39">
        <v>0</v>
      </c>
      <c r="AY30" s="39">
        <v>0</v>
      </c>
      <c r="AZ30" s="39">
        <v>455</v>
      </c>
      <c r="BA30" s="39">
        <v>17</v>
      </c>
      <c r="BB30" s="39">
        <v>0</v>
      </c>
      <c r="BC30" s="39">
        <v>50</v>
      </c>
      <c r="BD30" s="39">
        <v>25.5</v>
      </c>
      <c r="BE30" s="39">
        <v>0</v>
      </c>
      <c r="BF30" s="39">
        <v>142</v>
      </c>
      <c r="BG30" s="39">
        <v>0</v>
      </c>
      <c r="BH30" s="39">
        <v>0</v>
      </c>
      <c r="BI30" s="39">
        <v>0</v>
      </c>
      <c r="BJ30" s="39">
        <v>1062</v>
      </c>
      <c r="BK30" s="39">
        <v>3</v>
      </c>
      <c r="BL30" s="39">
        <v>51</v>
      </c>
      <c r="BM30" s="39">
        <v>128</v>
      </c>
      <c r="BN30" s="39">
        <v>73</v>
      </c>
      <c r="BO30" s="39">
        <v>0</v>
      </c>
      <c r="BP30" s="39">
        <v>180</v>
      </c>
      <c r="BQ30" s="39">
        <v>300</v>
      </c>
      <c r="BR30" s="39">
        <v>46</v>
      </c>
      <c r="BS30" s="39">
        <v>218</v>
      </c>
      <c r="BT30" s="39">
        <v>31</v>
      </c>
      <c r="BU30" s="39">
        <v>69</v>
      </c>
      <c r="BV30" s="39">
        <v>50</v>
      </c>
      <c r="BW30" s="39">
        <v>180</v>
      </c>
      <c r="BX30" s="39">
        <v>35</v>
      </c>
      <c r="BY30" s="39">
        <v>14</v>
      </c>
      <c r="BZ30" s="39">
        <v>114</v>
      </c>
      <c r="CA30" s="39">
        <v>42</v>
      </c>
      <c r="CB30" s="39">
        <v>52.2</v>
      </c>
      <c r="CC30" s="39">
        <v>12</v>
      </c>
      <c r="CD30" s="39">
        <v>26</v>
      </c>
      <c r="CE30" s="39">
        <v>290</v>
      </c>
      <c r="CF30" s="39">
        <v>0</v>
      </c>
      <c r="CG30" s="39">
        <v>312</v>
      </c>
      <c r="CH30" s="39">
        <v>35</v>
      </c>
      <c r="CI30" s="39">
        <v>30</v>
      </c>
      <c r="CJ30" s="39">
        <v>0</v>
      </c>
      <c r="CK30" s="39">
        <v>129</v>
      </c>
      <c r="CL30" s="39">
        <v>8</v>
      </c>
      <c r="CM30" s="39">
        <v>0</v>
      </c>
      <c r="CN30" s="39">
        <v>78</v>
      </c>
      <c r="CO30" s="39">
        <v>30</v>
      </c>
      <c r="CP30" s="39">
        <v>0</v>
      </c>
      <c r="CQ30" s="39">
        <v>16</v>
      </c>
      <c r="CR30" s="39">
        <v>172</v>
      </c>
      <c r="CS30" s="39">
        <v>0</v>
      </c>
      <c r="CT30" s="39">
        <v>74</v>
      </c>
      <c r="CU30" s="39">
        <v>110</v>
      </c>
      <c r="CV30" s="39">
        <v>11</v>
      </c>
      <c r="CW30" s="39">
        <v>1</v>
      </c>
      <c r="CX30" s="39">
        <v>0.12</v>
      </c>
      <c r="CY30" s="39">
        <v>12</v>
      </c>
      <c r="CZ30" s="39">
        <v>7635.82</v>
      </c>
      <c r="DA30" s="39">
        <v>922</v>
      </c>
      <c r="DB30" s="39">
        <v>206</v>
      </c>
      <c r="DC30" s="39">
        <v>0</v>
      </c>
      <c r="DD30" s="39">
        <v>0</v>
      </c>
      <c r="DE30" s="39">
        <v>0</v>
      </c>
      <c r="DF30" s="39">
        <v>0</v>
      </c>
      <c r="DG30" s="39">
        <v>0</v>
      </c>
      <c r="DH30" s="39">
        <v>0</v>
      </c>
      <c r="DI30" s="39">
        <v>0</v>
      </c>
      <c r="DJ30" s="39">
        <v>0</v>
      </c>
      <c r="DK30" s="39">
        <v>0</v>
      </c>
      <c r="DL30" s="39">
        <v>20.22</v>
      </c>
      <c r="DM30" s="39">
        <v>1001</v>
      </c>
      <c r="DN30" s="39">
        <v>17</v>
      </c>
      <c r="DO30" s="39">
        <v>1435.59</v>
      </c>
      <c r="DP30" s="39">
        <v>0</v>
      </c>
      <c r="DQ30" s="39">
        <v>0</v>
      </c>
      <c r="DR30" s="39">
        <v>0</v>
      </c>
      <c r="DS30" s="39">
        <v>35</v>
      </c>
      <c r="DT30" s="39">
        <v>5</v>
      </c>
      <c r="DU30" s="39">
        <v>60</v>
      </c>
      <c r="DV30" s="39">
        <v>0</v>
      </c>
      <c r="DW30" s="39">
        <v>0</v>
      </c>
      <c r="DX30" s="39">
        <v>8</v>
      </c>
      <c r="DY30" s="39">
        <v>13</v>
      </c>
      <c r="DZ30" s="39">
        <v>0</v>
      </c>
      <c r="EA30" s="39">
        <v>10.41</v>
      </c>
      <c r="EB30" s="39">
        <v>140</v>
      </c>
      <c r="EC30" s="39">
        <v>0</v>
      </c>
      <c r="ED30" s="39">
        <v>140</v>
      </c>
      <c r="EE30" s="39">
        <v>0</v>
      </c>
      <c r="EF30" s="39">
        <v>0</v>
      </c>
      <c r="EG30" s="39">
        <v>0</v>
      </c>
      <c r="EH30" s="39">
        <v>319</v>
      </c>
      <c r="EI30" s="39">
        <v>0</v>
      </c>
      <c r="EJ30" s="39">
        <v>0.93</v>
      </c>
      <c r="EK30" s="39">
        <v>0</v>
      </c>
      <c r="EL30" s="39">
        <v>160</v>
      </c>
      <c r="EM30" s="39">
        <v>50</v>
      </c>
      <c r="EN30" s="39">
        <v>35</v>
      </c>
      <c r="EO30" s="39">
        <v>6</v>
      </c>
      <c r="EP30" s="39">
        <v>50</v>
      </c>
      <c r="EQ30" s="39">
        <v>0</v>
      </c>
      <c r="ER30" s="39">
        <v>0</v>
      </c>
      <c r="ES30" s="39">
        <v>0</v>
      </c>
      <c r="ET30" s="39">
        <v>34</v>
      </c>
      <c r="EU30" s="39">
        <v>0.14000000000000001</v>
      </c>
      <c r="EV30" s="39">
        <v>0</v>
      </c>
      <c r="EW30" s="39">
        <v>159</v>
      </c>
      <c r="EX30" s="39">
        <v>8</v>
      </c>
      <c r="EY30" s="39">
        <v>105</v>
      </c>
      <c r="EZ30" s="39">
        <v>180</v>
      </c>
      <c r="FA30" s="39">
        <v>0</v>
      </c>
      <c r="FB30" s="39">
        <v>300</v>
      </c>
      <c r="FC30" s="39">
        <v>890</v>
      </c>
      <c r="FD30" s="39">
        <v>0</v>
      </c>
      <c r="FE30" s="39">
        <v>6310.29</v>
      </c>
      <c r="FF30" s="39">
        <v>13946.11</v>
      </c>
      <c r="FG30" s="39">
        <v>78.010000000000005</v>
      </c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</row>
    <row r="31" spans="1:189" s="37" customFormat="1" ht="39.950000000000003" customHeight="1" x14ac:dyDescent="0.3">
      <c r="A31" s="40" t="s">
        <v>530</v>
      </c>
      <c r="B31" s="39">
        <v>0</v>
      </c>
      <c r="C31" s="39">
        <v>52</v>
      </c>
      <c r="D31" s="39">
        <v>32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328</v>
      </c>
      <c r="K31" s="39">
        <v>0</v>
      </c>
      <c r="L31" s="39">
        <v>0</v>
      </c>
      <c r="M31" s="39">
        <v>28</v>
      </c>
      <c r="N31" s="39">
        <v>10</v>
      </c>
      <c r="O31" s="39">
        <v>110</v>
      </c>
      <c r="P31" s="39">
        <v>80</v>
      </c>
      <c r="Q31" s="39">
        <v>80</v>
      </c>
      <c r="R31" s="39">
        <v>55</v>
      </c>
      <c r="S31" s="39">
        <v>35</v>
      </c>
      <c r="T31" s="39">
        <v>90</v>
      </c>
      <c r="U31" s="39">
        <v>0</v>
      </c>
      <c r="V31" s="39">
        <v>62</v>
      </c>
      <c r="W31" s="39">
        <v>300</v>
      </c>
      <c r="X31" s="39">
        <v>253</v>
      </c>
      <c r="Y31" s="39">
        <v>250</v>
      </c>
      <c r="Z31" s="39">
        <v>0</v>
      </c>
      <c r="AA31" s="39">
        <v>35</v>
      </c>
      <c r="AB31" s="39">
        <v>0</v>
      </c>
      <c r="AC31" s="39">
        <v>260</v>
      </c>
      <c r="AD31" s="39">
        <v>0</v>
      </c>
      <c r="AE31" s="39">
        <v>0</v>
      </c>
      <c r="AF31" s="39">
        <v>2</v>
      </c>
      <c r="AG31" s="39">
        <v>0</v>
      </c>
      <c r="AH31" s="39">
        <v>18</v>
      </c>
      <c r="AI31" s="39">
        <v>18</v>
      </c>
      <c r="AJ31" s="39">
        <v>0</v>
      </c>
      <c r="AK31" s="39">
        <v>300</v>
      </c>
      <c r="AL31" s="39">
        <v>0</v>
      </c>
      <c r="AM31" s="39">
        <v>0</v>
      </c>
      <c r="AN31" s="39">
        <v>64</v>
      </c>
      <c r="AO31" s="39">
        <v>0</v>
      </c>
      <c r="AP31" s="39">
        <v>1</v>
      </c>
      <c r="AQ31" s="39">
        <v>96</v>
      </c>
      <c r="AR31" s="39">
        <v>54</v>
      </c>
      <c r="AS31" s="39">
        <v>0</v>
      </c>
      <c r="AT31" s="39">
        <v>100</v>
      </c>
      <c r="AU31" s="39">
        <v>38</v>
      </c>
      <c r="AV31" s="39">
        <v>0</v>
      </c>
      <c r="AW31" s="39">
        <v>40</v>
      </c>
      <c r="AX31" s="39">
        <v>0</v>
      </c>
      <c r="AY31" s="39">
        <v>0</v>
      </c>
      <c r="AZ31" s="39">
        <v>406</v>
      </c>
      <c r="BA31" s="39">
        <v>0</v>
      </c>
      <c r="BB31" s="39">
        <v>0</v>
      </c>
      <c r="BC31" s="39">
        <v>50</v>
      </c>
      <c r="BD31" s="39">
        <v>25.5</v>
      </c>
      <c r="BE31" s="39">
        <v>0</v>
      </c>
      <c r="BF31" s="39">
        <v>145</v>
      </c>
      <c r="BG31" s="39">
        <v>0</v>
      </c>
      <c r="BH31" s="39">
        <v>0</v>
      </c>
      <c r="BI31" s="39">
        <v>0</v>
      </c>
      <c r="BJ31" s="39">
        <v>900</v>
      </c>
      <c r="BK31" s="39">
        <v>0.41</v>
      </c>
      <c r="BL31" s="39">
        <v>5</v>
      </c>
      <c r="BM31" s="39">
        <v>60</v>
      </c>
      <c r="BN31" s="39">
        <v>8</v>
      </c>
      <c r="BO31" s="39">
        <v>0</v>
      </c>
      <c r="BP31" s="39">
        <v>130</v>
      </c>
      <c r="BQ31" s="39">
        <v>250</v>
      </c>
      <c r="BR31" s="39">
        <v>21</v>
      </c>
      <c r="BS31" s="39">
        <v>180</v>
      </c>
      <c r="BT31" s="39">
        <v>32</v>
      </c>
      <c r="BU31" s="39">
        <v>75</v>
      </c>
      <c r="BV31" s="39">
        <v>50</v>
      </c>
      <c r="BW31" s="39">
        <v>176</v>
      </c>
      <c r="BX31" s="39">
        <v>36</v>
      </c>
      <c r="BY31" s="39">
        <v>0</v>
      </c>
      <c r="BZ31" s="39">
        <v>114</v>
      </c>
      <c r="CA31" s="39">
        <v>28</v>
      </c>
      <c r="CB31" s="39">
        <v>8</v>
      </c>
      <c r="CC31" s="39">
        <v>2</v>
      </c>
      <c r="CD31" s="39">
        <v>29</v>
      </c>
      <c r="CE31" s="39">
        <v>280</v>
      </c>
      <c r="CF31" s="39">
        <v>0</v>
      </c>
      <c r="CG31" s="39">
        <v>338</v>
      </c>
      <c r="CH31" s="39">
        <v>36</v>
      </c>
      <c r="CI31" s="39">
        <v>30</v>
      </c>
      <c r="CJ31" s="39">
        <v>0</v>
      </c>
      <c r="CK31" s="39">
        <v>127</v>
      </c>
      <c r="CL31" s="39">
        <v>0</v>
      </c>
      <c r="CM31" s="39">
        <v>0</v>
      </c>
      <c r="CN31" s="39">
        <v>21</v>
      </c>
      <c r="CO31" s="39">
        <v>30</v>
      </c>
      <c r="CP31" s="39">
        <v>0</v>
      </c>
      <c r="CQ31" s="39">
        <v>16</v>
      </c>
      <c r="CR31" s="39">
        <v>173</v>
      </c>
      <c r="CS31" s="39">
        <v>0</v>
      </c>
      <c r="CT31" s="39">
        <v>16</v>
      </c>
      <c r="CU31" s="39">
        <v>45</v>
      </c>
      <c r="CV31" s="39">
        <v>11</v>
      </c>
      <c r="CW31" s="39">
        <v>0</v>
      </c>
      <c r="CX31" s="39">
        <v>0</v>
      </c>
      <c r="CY31" s="39">
        <v>12</v>
      </c>
      <c r="CZ31" s="39">
        <v>6656.91</v>
      </c>
      <c r="DA31" s="39">
        <v>921</v>
      </c>
      <c r="DB31" s="39">
        <v>214</v>
      </c>
      <c r="DC31" s="39">
        <v>0</v>
      </c>
      <c r="DD31" s="39">
        <v>0</v>
      </c>
      <c r="DE31" s="39">
        <v>0</v>
      </c>
      <c r="DF31" s="39">
        <v>0</v>
      </c>
      <c r="DG31" s="39">
        <v>0</v>
      </c>
      <c r="DH31" s="39">
        <v>0</v>
      </c>
      <c r="DI31" s="39">
        <v>0</v>
      </c>
      <c r="DJ31" s="39">
        <v>0</v>
      </c>
      <c r="DK31" s="39">
        <v>0</v>
      </c>
      <c r="DL31" s="39">
        <v>4.2300000000000004</v>
      </c>
      <c r="DM31" s="39">
        <v>928</v>
      </c>
      <c r="DN31" s="39">
        <v>17</v>
      </c>
      <c r="DO31" s="39">
        <v>1445.42</v>
      </c>
      <c r="DP31" s="39">
        <v>0</v>
      </c>
      <c r="DQ31" s="39">
        <v>0</v>
      </c>
      <c r="DR31" s="39">
        <v>0</v>
      </c>
      <c r="DS31" s="39">
        <v>0</v>
      </c>
      <c r="DT31" s="39">
        <v>5</v>
      </c>
      <c r="DU31" s="39">
        <v>60</v>
      </c>
      <c r="DV31" s="39">
        <v>0</v>
      </c>
      <c r="DW31" s="39">
        <v>21</v>
      </c>
      <c r="DX31" s="39">
        <v>8</v>
      </c>
      <c r="DY31" s="39">
        <v>2</v>
      </c>
      <c r="DZ31" s="39">
        <v>0</v>
      </c>
      <c r="EA31" s="39">
        <v>1.1299999999999999</v>
      </c>
      <c r="EB31" s="39">
        <v>140</v>
      </c>
      <c r="EC31" s="39">
        <v>0</v>
      </c>
      <c r="ED31" s="39">
        <v>140</v>
      </c>
      <c r="EE31" s="39">
        <v>0</v>
      </c>
      <c r="EF31" s="39">
        <v>0</v>
      </c>
      <c r="EG31" s="39">
        <v>0</v>
      </c>
      <c r="EH31" s="39">
        <v>320</v>
      </c>
      <c r="EI31" s="39">
        <v>0</v>
      </c>
      <c r="EJ31" s="39">
        <v>0.11</v>
      </c>
      <c r="EK31" s="39">
        <v>0</v>
      </c>
      <c r="EL31" s="39">
        <v>163</v>
      </c>
      <c r="EM31" s="39">
        <v>50</v>
      </c>
      <c r="EN31" s="39">
        <v>35</v>
      </c>
      <c r="EO31" s="39">
        <v>0</v>
      </c>
      <c r="EP31" s="39">
        <v>50</v>
      </c>
      <c r="EQ31" s="39">
        <v>0</v>
      </c>
      <c r="ER31" s="39">
        <v>0</v>
      </c>
      <c r="ES31" s="39">
        <v>0</v>
      </c>
      <c r="ET31" s="39">
        <v>7</v>
      </c>
      <c r="EU31" s="39">
        <v>0.03</v>
      </c>
      <c r="EV31" s="39">
        <v>0</v>
      </c>
      <c r="EW31" s="39">
        <v>150</v>
      </c>
      <c r="EX31" s="39">
        <v>9</v>
      </c>
      <c r="EY31" s="39">
        <v>90</v>
      </c>
      <c r="EZ31" s="39">
        <v>180</v>
      </c>
      <c r="FA31" s="39">
        <v>0</v>
      </c>
      <c r="FB31" s="39">
        <v>300</v>
      </c>
      <c r="FC31" s="39">
        <v>850</v>
      </c>
      <c r="FD31" s="39">
        <v>0</v>
      </c>
      <c r="FE31" s="39">
        <v>6110.92</v>
      </c>
      <c r="FF31" s="39">
        <v>12767.83</v>
      </c>
      <c r="FG31" s="39">
        <v>78</v>
      </c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</row>
    <row r="32" spans="1:189" s="37" customFormat="1" ht="39.950000000000003" customHeight="1" x14ac:dyDescent="0.3">
      <c r="A32" s="40" t="s">
        <v>529</v>
      </c>
      <c r="B32" s="39">
        <v>16</v>
      </c>
      <c r="C32" s="39">
        <v>52</v>
      </c>
      <c r="D32" s="39">
        <v>25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348</v>
      </c>
      <c r="K32" s="39">
        <v>0</v>
      </c>
      <c r="L32" s="39">
        <v>0</v>
      </c>
      <c r="M32" s="39">
        <v>50</v>
      </c>
      <c r="N32" s="39">
        <v>9</v>
      </c>
      <c r="O32" s="39">
        <v>111</v>
      </c>
      <c r="P32" s="39">
        <v>62</v>
      </c>
      <c r="Q32" s="39">
        <v>80</v>
      </c>
      <c r="R32" s="39">
        <v>55</v>
      </c>
      <c r="S32" s="39">
        <v>35</v>
      </c>
      <c r="T32" s="39">
        <v>90</v>
      </c>
      <c r="U32" s="39">
        <v>0</v>
      </c>
      <c r="V32" s="39">
        <v>67</v>
      </c>
      <c r="W32" s="39">
        <v>300</v>
      </c>
      <c r="X32" s="39">
        <v>296</v>
      </c>
      <c r="Y32" s="39">
        <v>250</v>
      </c>
      <c r="Z32" s="39">
        <v>0</v>
      </c>
      <c r="AA32" s="39">
        <v>35</v>
      </c>
      <c r="AB32" s="39">
        <v>0</v>
      </c>
      <c r="AC32" s="39">
        <v>277</v>
      </c>
      <c r="AD32" s="39">
        <v>0</v>
      </c>
      <c r="AE32" s="39">
        <v>0</v>
      </c>
      <c r="AF32" s="39">
        <v>0</v>
      </c>
      <c r="AG32" s="39">
        <v>0</v>
      </c>
      <c r="AH32" s="39">
        <v>18.399999999999999</v>
      </c>
      <c r="AI32" s="39">
        <v>21</v>
      </c>
      <c r="AJ32" s="39">
        <v>0</v>
      </c>
      <c r="AK32" s="39">
        <v>300</v>
      </c>
      <c r="AL32" s="39">
        <v>0</v>
      </c>
      <c r="AM32" s="39">
        <v>0</v>
      </c>
      <c r="AN32" s="39">
        <v>63</v>
      </c>
      <c r="AO32" s="39">
        <v>0</v>
      </c>
      <c r="AP32" s="39">
        <v>0</v>
      </c>
      <c r="AQ32" s="39">
        <v>101</v>
      </c>
      <c r="AR32" s="39">
        <v>66</v>
      </c>
      <c r="AS32" s="39">
        <v>0</v>
      </c>
      <c r="AT32" s="39">
        <v>100</v>
      </c>
      <c r="AU32" s="39">
        <v>70</v>
      </c>
      <c r="AV32" s="39">
        <v>0</v>
      </c>
      <c r="AW32" s="39">
        <v>40</v>
      </c>
      <c r="AX32" s="39">
        <v>0</v>
      </c>
      <c r="AY32" s="39">
        <v>7</v>
      </c>
      <c r="AZ32" s="39">
        <v>540</v>
      </c>
      <c r="BA32" s="39">
        <v>0</v>
      </c>
      <c r="BB32" s="39">
        <v>0</v>
      </c>
      <c r="BC32" s="39">
        <v>50</v>
      </c>
      <c r="BD32" s="39">
        <v>25.5</v>
      </c>
      <c r="BE32" s="39">
        <v>0</v>
      </c>
      <c r="BF32" s="39">
        <v>143</v>
      </c>
      <c r="BG32" s="39">
        <v>0</v>
      </c>
      <c r="BH32" s="39">
        <v>0</v>
      </c>
      <c r="BI32" s="39">
        <v>0</v>
      </c>
      <c r="BJ32" s="39">
        <v>1045</v>
      </c>
      <c r="BK32" s="39">
        <v>0</v>
      </c>
      <c r="BL32" s="39">
        <v>28</v>
      </c>
      <c r="BM32" s="39">
        <v>75</v>
      </c>
      <c r="BN32" s="39">
        <v>36</v>
      </c>
      <c r="BO32" s="39">
        <v>0</v>
      </c>
      <c r="BP32" s="39">
        <v>194</v>
      </c>
      <c r="BQ32" s="39">
        <v>345</v>
      </c>
      <c r="BR32" s="39">
        <v>12</v>
      </c>
      <c r="BS32" s="39">
        <v>191</v>
      </c>
      <c r="BT32" s="39">
        <v>30</v>
      </c>
      <c r="BU32" s="39">
        <v>90</v>
      </c>
      <c r="BV32" s="39">
        <v>50</v>
      </c>
      <c r="BW32" s="39">
        <v>178</v>
      </c>
      <c r="BX32" s="39">
        <v>36</v>
      </c>
      <c r="BY32" s="39">
        <v>6</v>
      </c>
      <c r="BZ32" s="39">
        <v>114</v>
      </c>
      <c r="CA32" s="39">
        <v>40</v>
      </c>
      <c r="CB32" s="39">
        <v>16</v>
      </c>
      <c r="CC32" s="39">
        <v>0</v>
      </c>
      <c r="CD32" s="39">
        <v>30</v>
      </c>
      <c r="CE32" s="39">
        <v>300</v>
      </c>
      <c r="CF32" s="39">
        <v>0</v>
      </c>
      <c r="CG32" s="39">
        <v>345</v>
      </c>
      <c r="CH32" s="39">
        <v>36</v>
      </c>
      <c r="CI32" s="39">
        <v>30</v>
      </c>
      <c r="CJ32" s="39">
        <v>0</v>
      </c>
      <c r="CK32" s="39">
        <v>141</v>
      </c>
      <c r="CL32" s="39">
        <v>0</v>
      </c>
      <c r="CM32" s="39">
        <v>0</v>
      </c>
      <c r="CN32" s="39">
        <v>78</v>
      </c>
      <c r="CO32" s="39">
        <v>30</v>
      </c>
      <c r="CP32" s="39">
        <v>0</v>
      </c>
      <c r="CQ32" s="39">
        <v>16</v>
      </c>
      <c r="CR32" s="39">
        <v>172</v>
      </c>
      <c r="CS32" s="39">
        <v>0</v>
      </c>
      <c r="CT32" s="39">
        <v>19</v>
      </c>
      <c r="CU32" s="39">
        <v>37</v>
      </c>
      <c r="CV32" s="39">
        <v>11</v>
      </c>
      <c r="CW32" s="39">
        <v>0</v>
      </c>
      <c r="CX32" s="39">
        <v>0</v>
      </c>
      <c r="CY32" s="39">
        <v>12</v>
      </c>
      <c r="CZ32" s="39">
        <v>7445.9</v>
      </c>
      <c r="DA32" s="39">
        <v>879</v>
      </c>
      <c r="DB32" s="39">
        <v>220</v>
      </c>
      <c r="DC32" s="39">
        <v>0</v>
      </c>
      <c r="DD32" s="39">
        <v>24</v>
      </c>
      <c r="DE32" s="39">
        <v>0</v>
      </c>
      <c r="DF32" s="39">
        <v>0</v>
      </c>
      <c r="DG32" s="39">
        <v>0</v>
      </c>
      <c r="DH32" s="39">
        <v>0</v>
      </c>
      <c r="DI32" s="39">
        <v>0</v>
      </c>
      <c r="DJ32" s="39">
        <v>0</v>
      </c>
      <c r="DK32" s="39">
        <v>0</v>
      </c>
      <c r="DL32" s="39">
        <v>0</v>
      </c>
      <c r="DM32" s="39">
        <v>956</v>
      </c>
      <c r="DN32" s="39">
        <v>17</v>
      </c>
      <c r="DO32" s="39">
        <v>1455.04</v>
      </c>
      <c r="DP32" s="39">
        <v>0</v>
      </c>
      <c r="DQ32" s="39">
        <v>0</v>
      </c>
      <c r="DR32" s="39">
        <v>0</v>
      </c>
      <c r="DS32" s="39">
        <v>0</v>
      </c>
      <c r="DT32" s="39">
        <v>11</v>
      </c>
      <c r="DU32" s="39">
        <v>62</v>
      </c>
      <c r="DV32" s="39">
        <v>0</v>
      </c>
      <c r="DW32" s="39">
        <v>36</v>
      </c>
      <c r="DX32" s="39">
        <v>8</v>
      </c>
      <c r="DY32" s="39">
        <v>0</v>
      </c>
      <c r="DZ32" s="39">
        <v>0</v>
      </c>
      <c r="EA32" s="39">
        <v>0</v>
      </c>
      <c r="EB32" s="39">
        <v>145</v>
      </c>
      <c r="EC32" s="39">
        <v>0</v>
      </c>
      <c r="ED32" s="39">
        <v>187</v>
      </c>
      <c r="EE32" s="39">
        <v>0</v>
      </c>
      <c r="EF32" s="39">
        <v>0</v>
      </c>
      <c r="EG32" s="39">
        <v>0</v>
      </c>
      <c r="EH32" s="39">
        <v>381</v>
      </c>
      <c r="EI32" s="39">
        <v>0</v>
      </c>
      <c r="EJ32" s="39">
        <v>0</v>
      </c>
      <c r="EK32" s="39">
        <v>0</v>
      </c>
      <c r="EL32" s="39">
        <v>163</v>
      </c>
      <c r="EM32" s="39">
        <v>48</v>
      </c>
      <c r="EN32" s="39">
        <v>51</v>
      </c>
      <c r="EO32" s="39">
        <v>0</v>
      </c>
      <c r="EP32" s="39">
        <v>70</v>
      </c>
      <c r="EQ32" s="39">
        <v>0</v>
      </c>
      <c r="ER32" s="39">
        <v>0</v>
      </c>
      <c r="ES32" s="39">
        <v>0</v>
      </c>
      <c r="ET32" s="39">
        <v>0</v>
      </c>
      <c r="EU32" s="39">
        <v>0</v>
      </c>
      <c r="EV32" s="39">
        <v>16</v>
      </c>
      <c r="EW32" s="39">
        <v>228</v>
      </c>
      <c r="EX32" s="39">
        <v>11</v>
      </c>
      <c r="EY32" s="39">
        <v>105</v>
      </c>
      <c r="EZ32" s="39">
        <v>220</v>
      </c>
      <c r="FA32" s="39">
        <v>0</v>
      </c>
      <c r="FB32" s="39">
        <v>325</v>
      </c>
      <c r="FC32" s="39">
        <v>860</v>
      </c>
      <c r="FD32" s="39">
        <v>17</v>
      </c>
      <c r="FE32" s="39">
        <v>6495.04</v>
      </c>
      <c r="FF32" s="39">
        <v>13940.94</v>
      </c>
      <c r="FG32" s="39">
        <v>77.989999999999995</v>
      </c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</row>
    <row r="33" spans="1:192" s="37" customFormat="1" ht="39.950000000000003" customHeight="1" x14ac:dyDescent="0.3">
      <c r="A33" s="40" t="s">
        <v>528</v>
      </c>
      <c r="B33" s="39">
        <v>16</v>
      </c>
      <c r="C33" s="39">
        <v>52</v>
      </c>
      <c r="D33" s="39">
        <v>25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333</v>
      </c>
      <c r="K33" s="39">
        <v>0</v>
      </c>
      <c r="L33" s="39">
        <v>0</v>
      </c>
      <c r="M33" s="39">
        <v>54</v>
      </c>
      <c r="N33" s="39">
        <v>17</v>
      </c>
      <c r="O33" s="39">
        <v>111</v>
      </c>
      <c r="P33" s="39">
        <v>87</v>
      </c>
      <c r="Q33" s="39">
        <v>145</v>
      </c>
      <c r="R33" s="39">
        <v>15</v>
      </c>
      <c r="S33" s="39">
        <v>35</v>
      </c>
      <c r="T33" s="39">
        <v>90</v>
      </c>
      <c r="U33" s="39">
        <v>0</v>
      </c>
      <c r="V33" s="39">
        <v>67</v>
      </c>
      <c r="W33" s="39">
        <v>300</v>
      </c>
      <c r="X33" s="39">
        <v>256</v>
      </c>
      <c r="Y33" s="39">
        <v>250</v>
      </c>
      <c r="Z33" s="39">
        <v>0</v>
      </c>
      <c r="AA33" s="39">
        <v>35</v>
      </c>
      <c r="AB33" s="39">
        <v>0</v>
      </c>
      <c r="AC33" s="39">
        <v>265</v>
      </c>
      <c r="AD33" s="39">
        <v>0</v>
      </c>
      <c r="AE33" s="39">
        <v>0</v>
      </c>
      <c r="AF33" s="39">
        <v>0</v>
      </c>
      <c r="AG33" s="39">
        <v>28</v>
      </c>
      <c r="AH33" s="39">
        <v>18</v>
      </c>
      <c r="AI33" s="39">
        <v>22</v>
      </c>
      <c r="AJ33" s="39">
        <v>0</v>
      </c>
      <c r="AK33" s="39">
        <v>300</v>
      </c>
      <c r="AL33" s="39">
        <v>0</v>
      </c>
      <c r="AM33" s="39">
        <v>0</v>
      </c>
      <c r="AN33" s="39">
        <v>65</v>
      </c>
      <c r="AO33" s="39">
        <v>0</v>
      </c>
      <c r="AP33" s="39">
        <v>0</v>
      </c>
      <c r="AQ33" s="39">
        <v>101</v>
      </c>
      <c r="AR33" s="39">
        <v>70</v>
      </c>
      <c r="AS33" s="39">
        <v>0</v>
      </c>
      <c r="AT33" s="39">
        <v>100</v>
      </c>
      <c r="AU33" s="39">
        <v>70</v>
      </c>
      <c r="AV33" s="39">
        <v>0</v>
      </c>
      <c r="AW33" s="39">
        <v>40</v>
      </c>
      <c r="AX33" s="39">
        <v>0</v>
      </c>
      <c r="AY33" s="39">
        <v>3</v>
      </c>
      <c r="AZ33" s="39">
        <v>553</v>
      </c>
      <c r="BA33" s="39">
        <v>0</v>
      </c>
      <c r="BB33" s="39">
        <v>0</v>
      </c>
      <c r="BC33" s="39">
        <v>50</v>
      </c>
      <c r="BD33" s="39">
        <v>25.5</v>
      </c>
      <c r="BE33" s="39">
        <v>0</v>
      </c>
      <c r="BF33" s="39">
        <v>146</v>
      </c>
      <c r="BG33" s="39">
        <v>0</v>
      </c>
      <c r="BH33" s="39">
        <v>0</v>
      </c>
      <c r="BI33" s="39">
        <v>0</v>
      </c>
      <c r="BJ33" s="39">
        <v>1085</v>
      </c>
      <c r="BK33" s="39">
        <v>0</v>
      </c>
      <c r="BL33" s="39">
        <v>51</v>
      </c>
      <c r="BM33" s="39">
        <v>126</v>
      </c>
      <c r="BN33" s="39">
        <v>36</v>
      </c>
      <c r="BO33" s="39">
        <v>0</v>
      </c>
      <c r="BP33" s="39">
        <v>250</v>
      </c>
      <c r="BQ33" s="39">
        <v>345</v>
      </c>
      <c r="BR33" s="39">
        <v>12</v>
      </c>
      <c r="BS33" s="39">
        <v>180</v>
      </c>
      <c r="BT33" s="39">
        <v>31</v>
      </c>
      <c r="BU33" s="39">
        <v>90</v>
      </c>
      <c r="BV33" s="39">
        <v>50</v>
      </c>
      <c r="BW33" s="39">
        <v>200</v>
      </c>
      <c r="BX33" s="39">
        <v>38</v>
      </c>
      <c r="BY33" s="39">
        <v>6</v>
      </c>
      <c r="BZ33" s="39">
        <v>114</v>
      </c>
      <c r="CA33" s="39">
        <v>44</v>
      </c>
      <c r="CB33" s="39">
        <v>52.2</v>
      </c>
      <c r="CC33" s="39">
        <v>0</v>
      </c>
      <c r="CD33" s="39">
        <v>30</v>
      </c>
      <c r="CE33" s="39">
        <v>270</v>
      </c>
      <c r="CF33" s="39">
        <v>0</v>
      </c>
      <c r="CG33" s="39">
        <v>364</v>
      </c>
      <c r="CH33" s="39">
        <v>36</v>
      </c>
      <c r="CI33" s="39">
        <v>30</v>
      </c>
      <c r="CJ33" s="39">
        <v>0</v>
      </c>
      <c r="CK33" s="39">
        <v>162</v>
      </c>
      <c r="CL33" s="39">
        <v>0</v>
      </c>
      <c r="CM33" s="39">
        <v>0</v>
      </c>
      <c r="CN33" s="39">
        <v>78</v>
      </c>
      <c r="CO33" s="39">
        <v>30</v>
      </c>
      <c r="CP33" s="39">
        <v>0</v>
      </c>
      <c r="CQ33" s="39">
        <v>17</v>
      </c>
      <c r="CR33" s="39">
        <v>174</v>
      </c>
      <c r="CS33" s="39">
        <v>0</v>
      </c>
      <c r="CT33" s="39">
        <v>96</v>
      </c>
      <c r="CU33" s="39">
        <v>60</v>
      </c>
      <c r="CV33" s="39">
        <v>11</v>
      </c>
      <c r="CW33" s="39">
        <v>0</v>
      </c>
      <c r="CX33" s="39">
        <v>0</v>
      </c>
      <c r="CY33" s="39">
        <v>12</v>
      </c>
      <c r="CZ33" s="39">
        <v>7824.7</v>
      </c>
      <c r="DA33" s="39">
        <v>879</v>
      </c>
      <c r="DB33" s="39">
        <v>220</v>
      </c>
      <c r="DC33" s="39">
        <v>0</v>
      </c>
      <c r="DD33" s="39">
        <v>39</v>
      </c>
      <c r="DE33" s="39">
        <v>0</v>
      </c>
      <c r="DF33" s="39">
        <v>0</v>
      </c>
      <c r="DG33" s="39">
        <v>0</v>
      </c>
      <c r="DH33" s="39">
        <v>0</v>
      </c>
      <c r="DI33" s="39">
        <v>0</v>
      </c>
      <c r="DJ33" s="39">
        <v>0</v>
      </c>
      <c r="DK33" s="39">
        <v>0</v>
      </c>
      <c r="DL33" s="39">
        <v>0</v>
      </c>
      <c r="DM33" s="39">
        <v>1072</v>
      </c>
      <c r="DN33" s="39">
        <v>17</v>
      </c>
      <c r="DO33" s="39">
        <v>1439.03</v>
      </c>
      <c r="DP33" s="39">
        <v>0</v>
      </c>
      <c r="DQ33" s="39">
        <v>0</v>
      </c>
      <c r="DR33" s="39">
        <v>0</v>
      </c>
      <c r="DS33" s="39">
        <v>40</v>
      </c>
      <c r="DT33" s="39">
        <v>11</v>
      </c>
      <c r="DU33" s="39">
        <v>62</v>
      </c>
      <c r="DV33" s="39">
        <v>0</v>
      </c>
      <c r="DW33" s="39">
        <v>37</v>
      </c>
      <c r="DX33" s="39">
        <v>0</v>
      </c>
      <c r="DY33" s="39">
        <v>0</v>
      </c>
      <c r="DZ33" s="39">
        <v>0</v>
      </c>
      <c r="EA33" s="39">
        <v>0</v>
      </c>
      <c r="EB33" s="39">
        <v>205</v>
      </c>
      <c r="EC33" s="39">
        <v>0</v>
      </c>
      <c r="ED33" s="39">
        <v>196</v>
      </c>
      <c r="EE33" s="39">
        <v>0</v>
      </c>
      <c r="EF33" s="39">
        <v>0</v>
      </c>
      <c r="EG33" s="39">
        <v>0</v>
      </c>
      <c r="EH33" s="39">
        <v>367</v>
      </c>
      <c r="EI33" s="39">
        <v>0</v>
      </c>
      <c r="EJ33" s="39">
        <v>0</v>
      </c>
      <c r="EK33" s="39">
        <v>0</v>
      </c>
      <c r="EL33" s="39">
        <v>164</v>
      </c>
      <c r="EM33" s="39">
        <v>50</v>
      </c>
      <c r="EN33" s="39">
        <v>70</v>
      </c>
      <c r="EO33" s="39">
        <v>0</v>
      </c>
      <c r="EP33" s="39">
        <v>113</v>
      </c>
      <c r="EQ33" s="39">
        <v>0</v>
      </c>
      <c r="ER33" s="39">
        <v>0</v>
      </c>
      <c r="ES33" s="39">
        <v>0</v>
      </c>
      <c r="ET33" s="39">
        <v>0</v>
      </c>
      <c r="EU33" s="39">
        <v>0</v>
      </c>
      <c r="EV33" s="39">
        <v>16</v>
      </c>
      <c r="EW33" s="39">
        <v>307</v>
      </c>
      <c r="EX33" s="39">
        <v>11</v>
      </c>
      <c r="EY33" s="39">
        <v>105</v>
      </c>
      <c r="EZ33" s="39">
        <v>220</v>
      </c>
      <c r="FA33" s="39">
        <v>0</v>
      </c>
      <c r="FB33" s="39">
        <v>347</v>
      </c>
      <c r="FC33" s="39">
        <v>1110</v>
      </c>
      <c r="FD33" s="39">
        <v>17</v>
      </c>
      <c r="FE33" s="39">
        <v>7114.03</v>
      </c>
      <c r="FF33" s="39">
        <v>14938.73</v>
      </c>
      <c r="FG33" s="39">
        <v>77.989999999999995</v>
      </c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</row>
    <row r="34" spans="1:192" s="37" customFormat="1" ht="39.950000000000003" customHeight="1" x14ac:dyDescent="0.3">
      <c r="A34" s="40" t="s">
        <v>527</v>
      </c>
      <c r="B34" s="39">
        <v>16</v>
      </c>
      <c r="C34" s="39">
        <v>52</v>
      </c>
      <c r="D34" s="39">
        <v>25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334</v>
      </c>
      <c r="K34" s="39">
        <v>0</v>
      </c>
      <c r="L34" s="39">
        <v>0</v>
      </c>
      <c r="M34" s="39">
        <v>54</v>
      </c>
      <c r="N34" s="39">
        <v>17</v>
      </c>
      <c r="O34" s="39">
        <v>111</v>
      </c>
      <c r="P34" s="39">
        <v>117</v>
      </c>
      <c r="Q34" s="39">
        <v>80</v>
      </c>
      <c r="R34" s="39">
        <v>15</v>
      </c>
      <c r="S34" s="39">
        <v>35</v>
      </c>
      <c r="T34" s="39">
        <v>90</v>
      </c>
      <c r="U34" s="39">
        <v>0</v>
      </c>
      <c r="V34" s="39">
        <v>67</v>
      </c>
      <c r="W34" s="39">
        <v>300</v>
      </c>
      <c r="X34" s="39">
        <v>295</v>
      </c>
      <c r="Y34" s="39">
        <v>250</v>
      </c>
      <c r="Z34" s="39">
        <v>0</v>
      </c>
      <c r="AA34" s="39">
        <v>35</v>
      </c>
      <c r="AB34" s="39">
        <v>0</v>
      </c>
      <c r="AC34" s="39">
        <v>273</v>
      </c>
      <c r="AD34" s="39">
        <v>0</v>
      </c>
      <c r="AE34" s="39">
        <v>0</v>
      </c>
      <c r="AF34" s="39">
        <v>0</v>
      </c>
      <c r="AG34" s="39">
        <v>52</v>
      </c>
      <c r="AH34" s="39">
        <v>18</v>
      </c>
      <c r="AI34" s="39">
        <v>21</v>
      </c>
      <c r="AJ34" s="39">
        <v>0</v>
      </c>
      <c r="AK34" s="39">
        <v>300</v>
      </c>
      <c r="AL34" s="39">
        <v>0</v>
      </c>
      <c r="AM34" s="39">
        <v>0</v>
      </c>
      <c r="AN34" s="39">
        <v>50</v>
      </c>
      <c r="AO34" s="39">
        <v>0</v>
      </c>
      <c r="AP34" s="39">
        <v>0</v>
      </c>
      <c r="AQ34" s="39">
        <v>101</v>
      </c>
      <c r="AR34" s="39">
        <v>76</v>
      </c>
      <c r="AS34" s="39">
        <v>0</v>
      </c>
      <c r="AT34" s="39">
        <v>88</v>
      </c>
      <c r="AU34" s="39">
        <v>36</v>
      </c>
      <c r="AV34" s="39">
        <v>0</v>
      </c>
      <c r="AW34" s="39">
        <v>40</v>
      </c>
      <c r="AX34" s="39">
        <v>0</v>
      </c>
      <c r="AY34" s="39">
        <v>5</v>
      </c>
      <c r="AZ34" s="39">
        <v>552</v>
      </c>
      <c r="BA34" s="39">
        <v>0</v>
      </c>
      <c r="BB34" s="39">
        <v>0</v>
      </c>
      <c r="BC34" s="39">
        <v>45</v>
      </c>
      <c r="BD34" s="39">
        <v>25.5</v>
      </c>
      <c r="BE34" s="39">
        <v>0</v>
      </c>
      <c r="BF34" s="39">
        <v>145</v>
      </c>
      <c r="BG34" s="39">
        <v>0</v>
      </c>
      <c r="BH34" s="39">
        <v>0</v>
      </c>
      <c r="BI34" s="39">
        <v>0</v>
      </c>
      <c r="BJ34" s="39">
        <v>1147</v>
      </c>
      <c r="BK34" s="39">
        <v>0</v>
      </c>
      <c r="BL34" s="39">
        <v>51</v>
      </c>
      <c r="BM34" s="39">
        <v>60</v>
      </c>
      <c r="BN34" s="39">
        <v>55</v>
      </c>
      <c r="BO34" s="39">
        <v>0</v>
      </c>
      <c r="BP34" s="39">
        <v>245</v>
      </c>
      <c r="BQ34" s="39">
        <v>345</v>
      </c>
      <c r="BR34" s="39">
        <v>40</v>
      </c>
      <c r="BS34" s="39">
        <v>191</v>
      </c>
      <c r="BT34" s="39">
        <v>32</v>
      </c>
      <c r="BU34" s="39">
        <v>90</v>
      </c>
      <c r="BV34" s="39">
        <v>70</v>
      </c>
      <c r="BW34" s="39">
        <v>191</v>
      </c>
      <c r="BX34" s="39">
        <v>39</v>
      </c>
      <c r="BY34" s="39">
        <v>6</v>
      </c>
      <c r="BZ34" s="39">
        <v>114</v>
      </c>
      <c r="CA34" s="39">
        <v>46</v>
      </c>
      <c r="CB34" s="39">
        <v>52.2</v>
      </c>
      <c r="CC34" s="39">
        <v>0</v>
      </c>
      <c r="CD34" s="39">
        <v>30</v>
      </c>
      <c r="CE34" s="39">
        <v>290</v>
      </c>
      <c r="CF34" s="39">
        <v>0</v>
      </c>
      <c r="CG34" s="39">
        <v>346</v>
      </c>
      <c r="CH34" s="39">
        <v>38</v>
      </c>
      <c r="CI34" s="39">
        <v>30</v>
      </c>
      <c r="CJ34" s="39">
        <v>0</v>
      </c>
      <c r="CK34" s="39">
        <v>152</v>
      </c>
      <c r="CL34" s="39">
        <v>0</v>
      </c>
      <c r="CM34" s="39">
        <v>0</v>
      </c>
      <c r="CN34" s="39">
        <v>78</v>
      </c>
      <c r="CO34" s="39">
        <v>30</v>
      </c>
      <c r="CP34" s="39">
        <v>0</v>
      </c>
      <c r="CQ34" s="39">
        <v>17</v>
      </c>
      <c r="CR34" s="39">
        <v>173</v>
      </c>
      <c r="CS34" s="39">
        <v>2</v>
      </c>
      <c r="CT34" s="39">
        <v>100</v>
      </c>
      <c r="CU34" s="39">
        <v>128</v>
      </c>
      <c r="CV34" s="39">
        <v>11</v>
      </c>
      <c r="CW34" s="39">
        <v>0</v>
      </c>
      <c r="CX34" s="39">
        <v>0</v>
      </c>
      <c r="CY34" s="39">
        <v>12</v>
      </c>
      <c r="CZ34" s="39">
        <v>7931.7</v>
      </c>
      <c r="DA34" s="39">
        <v>879</v>
      </c>
      <c r="DB34" s="39">
        <v>216</v>
      </c>
      <c r="DC34" s="39">
        <v>0</v>
      </c>
      <c r="DD34" s="39">
        <v>0</v>
      </c>
      <c r="DE34" s="39">
        <v>0</v>
      </c>
      <c r="DF34" s="39">
        <v>0</v>
      </c>
      <c r="DG34" s="39">
        <v>0</v>
      </c>
      <c r="DH34" s="39">
        <v>0</v>
      </c>
      <c r="DI34" s="39">
        <v>0</v>
      </c>
      <c r="DJ34" s="39">
        <v>0</v>
      </c>
      <c r="DK34" s="39">
        <v>0</v>
      </c>
      <c r="DL34" s="39">
        <v>0</v>
      </c>
      <c r="DM34" s="39">
        <v>1123</v>
      </c>
      <c r="DN34" s="39">
        <v>34</v>
      </c>
      <c r="DO34" s="39">
        <v>1447.02</v>
      </c>
      <c r="DP34" s="39">
        <v>0</v>
      </c>
      <c r="DQ34" s="39">
        <v>0</v>
      </c>
      <c r="DR34" s="39">
        <v>0</v>
      </c>
      <c r="DS34" s="39">
        <v>50</v>
      </c>
      <c r="DT34" s="39">
        <v>4</v>
      </c>
      <c r="DU34" s="39">
        <v>0</v>
      </c>
      <c r="DV34" s="39">
        <v>0</v>
      </c>
      <c r="DW34" s="39">
        <v>0</v>
      </c>
      <c r="DX34" s="39">
        <v>0</v>
      </c>
      <c r="DY34" s="39">
        <v>0</v>
      </c>
      <c r="DZ34" s="39">
        <v>0</v>
      </c>
      <c r="EA34" s="39">
        <v>0</v>
      </c>
      <c r="EB34" s="39">
        <v>205</v>
      </c>
      <c r="EC34" s="39">
        <v>0</v>
      </c>
      <c r="ED34" s="39">
        <v>198</v>
      </c>
      <c r="EE34" s="39">
        <v>0</v>
      </c>
      <c r="EF34" s="39">
        <v>0</v>
      </c>
      <c r="EG34" s="39">
        <v>0</v>
      </c>
      <c r="EH34" s="39">
        <v>331</v>
      </c>
      <c r="EI34" s="39">
        <v>0</v>
      </c>
      <c r="EJ34" s="39">
        <v>0</v>
      </c>
      <c r="EK34" s="39">
        <v>0</v>
      </c>
      <c r="EL34" s="39">
        <v>162</v>
      </c>
      <c r="EM34" s="39">
        <v>50</v>
      </c>
      <c r="EN34" s="39">
        <v>35</v>
      </c>
      <c r="EO34" s="39">
        <v>0</v>
      </c>
      <c r="EP34" s="39">
        <v>113</v>
      </c>
      <c r="EQ34" s="39">
        <v>0</v>
      </c>
      <c r="ER34" s="39">
        <v>0</v>
      </c>
      <c r="ES34" s="39">
        <v>0</v>
      </c>
      <c r="ET34" s="39">
        <v>0</v>
      </c>
      <c r="EU34" s="39">
        <v>0</v>
      </c>
      <c r="EV34" s="39">
        <v>16</v>
      </c>
      <c r="EW34" s="39">
        <v>307</v>
      </c>
      <c r="EX34" s="39">
        <v>10</v>
      </c>
      <c r="EY34" s="39">
        <v>105</v>
      </c>
      <c r="EZ34" s="39">
        <v>220</v>
      </c>
      <c r="FA34" s="39">
        <v>0</v>
      </c>
      <c r="FB34" s="39">
        <v>318</v>
      </c>
      <c r="FC34" s="39">
        <v>1150</v>
      </c>
      <c r="FD34" s="39">
        <v>0</v>
      </c>
      <c r="FE34" s="39">
        <v>6973.02</v>
      </c>
      <c r="FF34" s="39">
        <v>14904.72</v>
      </c>
      <c r="FG34" s="39">
        <v>77.98</v>
      </c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</row>
    <row r="35" spans="1:192" s="37" customFormat="1" ht="39.950000000000003" customHeight="1" x14ac:dyDescent="0.3">
      <c r="A35" s="40" t="s">
        <v>526</v>
      </c>
      <c r="B35" s="39">
        <v>0</v>
      </c>
      <c r="C35" s="39">
        <v>52</v>
      </c>
      <c r="D35" s="39">
        <v>25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341</v>
      </c>
      <c r="K35" s="39">
        <v>0</v>
      </c>
      <c r="L35" s="39">
        <v>0</v>
      </c>
      <c r="M35" s="39">
        <v>54</v>
      </c>
      <c r="N35" s="39">
        <v>17</v>
      </c>
      <c r="O35" s="39">
        <v>112</v>
      </c>
      <c r="P35" s="39">
        <v>147</v>
      </c>
      <c r="Q35" s="39">
        <v>15</v>
      </c>
      <c r="R35" s="39">
        <v>0</v>
      </c>
      <c r="S35" s="39">
        <v>35</v>
      </c>
      <c r="T35" s="39">
        <v>90</v>
      </c>
      <c r="U35" s="39">
        <v>0</v>
      </c>
      <c r="V35" s="39">
        <v>67</v>
      </c>
      <c r="W35" s="39">
        <v>300</v>
      </c>
      <c r="X35" s="39">
        <v>290</v>
      </c>
      <c r="Y35" s="39">
        <v>250</v>
      </c>
      <c r="Z35" s="39">
        <v>0</v>
      </c>
      <c r="AA35" s="39">
        <v>35</v>
      </c>
      <c r="AB35" s="39">
        <v>0</v>
      </c>
      <c r="AC35" s="39">
        <v>268</v>
      </c>
      <c r="AD35" s="39">
        <v>0</v>
      </c>
      <c r="AE35" s="39">
        <v>0</v>
      </c>
      <c r="AF35" s="39">
        <v>0</v>
      </c>
      <c r="AG35" s="39">
        <v>52</v>
      </c>
      <c r="AH35" s="39">
        <v>17.5</v>
      </c>
      <c r="AI35" s="39">
        <v>21</v>
      </c>
      <c r="AJ35" s="39">
        <v>0</v>
      </c>
      <c r="AK35" s="39">
        <v>300</v>
      </c>
      <c r="AL35" s="39">
        <v>0</v>
      </c>
      <c r="AM35" s="39">
        <v>0</v>
      </c>
      <c r="AN35" s="39">
        <v>16</v>
      </c>
      <c r="AO35" s="39">
        <v>0</v>
      </c>
      <c r="AP35" s="39">
        <v>0</v>
      </c>
      <c r="AQ35" s="39">
        <v>100</v>
      </c>
      <c r="AR35" s="39">
        <v>76</v>
      </c>
      <c r="AS35" s="39">
        <v>0</v>
      </c>
      <c r="AT35" s="39">
        <v>100</v>
      </c>
      <c r="AU35" s="39">
        <v>36</v>
      </c>
      <c r="AV35" s="39">
        <v>0</v>
      </c>
      <c r="AW35" s="39">
        <v>40</v>
      </c>
      <c r="AX35" s="39">
        <v>0</v>
      </c>
      <c r="AY35" s="39">
        <v>8</v>
      </c>
      <c r="AZ35" s="39">
        <v>557</v>
      </c>
      <c r="BA35" s="39">
        <v>0</v>
      </c>
      <c r="BB35" s="39">
        <v>0</v>
      </c>
      <c r="BC35" s="39">
        <v>20</v>
      </c>
      <c r="BD35" s="39">
        <v>8</v>
      </c>
      <c r="BE35" s="39">
        <v>0</v>
      </c>
      <c r="BF35" s="39">
        <v>148</v>
      </c>
      <c r="BG35" s="39">
        <v>0</v>
      </c>
      <c r="BH35" s="39">
        <v>0</v>
      </c>
      <c r="BI35" s="39">
        <v>0</v>
      </c>
      <c r="BJ35" s="39">
        <v>1224</v>
      </c>
      <c r="BK35" s="39">
        <v>0</v>
      </c>
      <c r="BL35" s="39">
        <v>51</v>
      </c>
      <c r="BM35" s="39">
        <v>30</v>
      </c>
      <c r="BN35" s="39">
        <v>73</v>
      </c>
      <c r="BO35" s="39">
        <v>0</v>
      </c>
      <c r="BP35" s="39">
        <v>250</v>
      </c>
      <c r="BQ35" s="39">
        <v>345</v>
      </c>
      <c r="BR35" s="39">
        <v>53</v>
      </c>
      <c r="BS35" s="39">
        <v>180</v>
      </c>
      <c r="BT35" s="39">
        <v>33</v>
      </c>
      <c r="BU35" s="39">
        <v>90</v>
      </c>
      <c r="BV35" s="39">
        <v>70</v>
      </c>
      <c r="BW35" s="39">
        <v>170</v>
      </c>
      <c r="BX35" s="39">
        <v>39</v>
      </c>
      <c r="BY35" s="39">
        <v>18</v>
      </c>
      <c r="BZ35" s="39">
        <v>114</v>
      </c>
      <c r="CA35" s="39">
        <v>44</v>
      </c>
      <c r="CB35" s="39">
        <v>8</v>
      </c>
      <c r="CC35" s="39">
        <v>0</v>
      </c>
      <c r="CD35" s="39">
        <v>31</v>
      </c>
      <c r="CE35" s="39">
        <v>295</v>
      </c>
      <c r="CF35" s="39">
        <v>0</v>
      </c>
      <c r="CG35" s="39">
        <v>356</v>
      </c>
      <c r="CH35" s="39">
        <v>38</v>
      </c>
      <c r="CI35" s="39">
        <v>30</v>
      </c>
      <c r="CJ35" s="39">
        <v>0</v>
      </c>
      <c r="CK35" s="39">
        <v>134</v>
      </c>
      <c r="CL35" s="39">
        <v>0</v>
      </c>
      <c r="CM35" s="39">
        <v>0</v>
      </c>
      <c r="CN35" s="39">
        <v>78</v>
      </c>
      <c r="CO35" s="39">
        <v>30</v>
      </c>
      <c r="CP35" s="39">
        <v>0</v>
      </c>
      <c r="CQ35" s="39">
        <v>17</v>
      </c>
      <c r="CR35" s="39">
        <v>173</v>
      </c>
      <c r="CS35" s="39">
        <v>17</v>
      </c>
      <c r="CT35" s="39">
        <v>96</v>
      </c>
      <c r="CU35" s="39">
        <v>165</v>
      </c>
      <c r="CV35" s="39">
        <v>11</v>
      </c>
      <c r="CW35" s="39">
        <v>0</v>
      </c>
      <c r="CX35" s="39">
        <v>0</v>
      </c>
      <c r="CY35" s="39">
        <v>12</v>
      </c>
      <c r="CZ35" s="39">
        <v>7872.5</v>
      </c>
      <c r="DA35" s="39">
        <v>926</v>
      </c>
      <c r="DB35" s="39">
        <v>212</v>
      </c>
      <c r="DC35" s="39">
        <v>0</v>
      </c>
      <c r="DD35" s="39">
        <v>0</v>
      </c>
      <c r="DE35" s="39">
        <v>0</v>
      </c>
      <c r="DF35" s="39">
        <v>0</v>
      </c>
      <c r="DG35" s="39">
        <v>0</v>
      </c>
      <c r="DH35" s="39">
        <v>0</v>
      </c>
      <c r="DI35" s="39">
        <v>0</v>
      </c>
      <c r="DJ35" s="39">
        <v>0</v>
      </c>
      <c r="DK35" s="39">
        <v>0</v>
      </c>
      <c r="DL35" s="39">
        <v>0</v>
      </c>
      <c r="DM35" s="39">
        <v>1220</v>
      </c>
      <c r="DN35" s="39">
        <v>52</v>
      </c>
      <c r="DO35" s="39">
        <v>1449</v>
      </c>
      <c r="DP35" s="39">
        <v>0</v>
      </c>
      <c r="DQ35" s="39">
        <v>0</v>
      </c>
      <c r="DR35" s="39">
        <v>0</v>
      </c>
      <c r="DS35" s="39">
        <v>0</v>
      </c>
      <c r="DT35" s="39">
        <v>3</v>
      </c>
      <c r="DU35" s="39">
        <v>0</v>
      </c>
      <c r="DV35" s="39">
        <v>0</v>
      </c>
      <c r="DW35" s="39">
        <v>0</v>
      </c>
      <c r="DX35" s="39">
        <v>0</v>
      </c>
      <c r="DY35" s="39">
        <v>0</v>
      </c>
      <c r="DZ35" s="39">
        <v>0</v>
      </c>
      <c r="EA35" s="39">
        <v>0</v>
      </c>
      <c r="EB35" s="39">
        <v>206</v>
      </c>
      <c r="EC35" s="39">
        <v>0</v>
      </c>
      <c r="ED35" s="39">
        <v>200</v>
      </c>
      <c r="EE35" s="39">
        <v>0</v>
      </c>
      <c r="EF35" s="39">
        <v>0</v>
      </c>
      <c r="EG35" s="39">
        <v>0</v>
      </c>
      <c r="EH35" s="39">
        <v>370</v>
      </c>
      <c r="EI35" s="39">
        <v>0</v>
      </c>
      <c r="EJ35" s="39">
        <v>0</v>
      </c>
      <c r="EK35" s="39">
        <v>0</v>
      </c>
      <c r="EL35" s="39">
        <v>165</v>
      </c>
      <c r="EM35" s="39">
        <v>51</v>
      </c>
      <c r="EN35" s="39">
        <v>0</v>
      </c>
      <c r="EO35" s="39">
        <v>0</v>
      </c>
      <c r="EP35" s="39">
        <v>70</v>
      </c>
      <c r="EQ35" s="39">
        <v>0</v>
      </c>
      <c r="ER35" s="39">
        <v>0</v>
      </c>
      <c r="ES35" s="39">
        <v>0</v>
      </c>
      <c r="ET35" s="39">
        <v>0</v>
      </c>
      <c r="EU35" s="39">
        <v>0</v>
      </c>
      <c r="EV35" s="39">
        <v>16</v>
      </c>
      <c r="EW35" s="39">
        <v>307</v>
      </c>
      <c r="EX35" s="39">
        <v>11</v>
      </c>
      <c r="EY35" s="39">
        <v>105</v>
      </c>
      <c r="EZ35" s="39">
        <v>220</v>
      </c>
      <c r="FA35" s="39">
        <v>0</v>
      </c>
      <c r="FB35" s="39">
        <v>345</v>
      </c>
      <c r="FC35" s="39">
        <v>1244</v>
      </c>
      <c r="FD35" s="39">
        <v>0</v>
      </c>
      <c r="FE35" s="39">
        <v>7172</v>
      </c>
      <c r="FF35" s="39">
        <v>15044.5</v>
      </c>
      <c r="FG35" s="39">
        <v>77.97</v>
      </c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</row>
    <row r="36" spans="1:192" s="37" customFormat="1" ht="39.950000000000003" customHeight="1" x14ac:dyDescent="0.3">
      <c r="A36" s="40" t="s">
        <v>525</v>
      </c>
      <c r="B36" s="39">
        <v>0</v>
      </c>
      <c r="C36" s="39">
        <v>52</v>
      </c>
      <c r="D36" s="39">
        <v>25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353</v>
      </c>
      <c r="K36" s="39">
        <v>0</v>
      </c>
      <c r="L36" s="39">
        <v>0</v>
      </c>
      <c r="M36" s="39">
        <v>54</v>
      </c>
      <c r="N36" s="39">
        <v>17</v>
      </c>
      <c r="O36" s="39">
        <v>113</v>
      </c>
      <c r="P36" s="39">
        <v>147</v>
      </c>
      <c r="Q36" s="39">
        <v>15</v>
      </c>
      <c r="R36" s="39">
        <v>0</v>
      </c>
      <c r="S36" s="39">
        <v>35</v>
      </c>
      <c r="T36" s="39">
        <v>90</v>
      </c>
      <c r="U36" s="39">
        <v>0</v>
      </c>
      <c r="V36" s="39">
        <v>67</v>
      </c>
      <c r="W36" s="39">
        <v>300</v>
      </c>
      <c r="X36" s="39">
        <v>260</v>
      </c>
      <c r="Y36" s="39">
        <v>250</v>
      </c>
      <c r="Z36" s="39">
        <v>0</v>
      </c>
      <c r="AA36" s="39">
        <v>35</v>
      </c>
      <c r="AB36" s="39">
        <v>0</v>
      </c>
      <c r="AC36" s="39">
        <v>277</v>
      </c>
      <c r="AD36" s="39">
        <v>0</v>
      </c>
      <c r="AE36" s="39">
        <v>0</v>
      </c>
      <c r="AF36" s="39">
        <v>0</v>
      </c>
      <c r="AG36" s="39">
        <v>52</v>
      </c>
      <c r="AH36" s="39">
        <v>17</v>
      </c>
      <c r="AI36" s="39">
        <v>21</v>
      </c>
      <c r="AJ36" s="39">
        <v>0</v>
      </c>
      <c r="AK36" s="39">
        <v>300</v>
      </c>
      <c r="AL36" s="39">
        <v>0</v>
      </c>
      <c r="AM36" s="39">
        <v>0</v>
      </c>
      <c r="AN36" s="39">
        <v>12</v>
      </c>
      <c r="AO36" s="39">
        <v>0</v>
      </c>
      <c r="AP36" s="39">
        <v>0</v>
      </c>
      <c r="AQ36" s="39">
        <v>101</v>
      </c>
      <c r="AR36" s="39">
        <v>76</v>
      </c>
      <c r="AS36" s="39">
        <v>0</v>
      </c>
      <c r="AT36" s="39">
        <v>100</v>
      </c>
      <c r="AU36" s="39">
        <v>80</v>
      </c>
      <c r="AV36" s="39">
        <v>0</v>
      </c>
      <c r="AW36" s="39">
        <v>40</v>
      </c>
      <c r="AX36" s="39">
        <v>0</v>
      </c>
      <c r="AY36" s="39">
        <v>17</v>
      </c>
      <c r="AZ36" s="39">
        <v>557</v>
      </c>
      <c r="BA36" s="39">
        <v>0</v>
      </c>
      <c r="BB36" s="39">
        <v>0</v>
      </c>
      <c r="BC36" s="39">
        <v>19</v>
      </c>
      <c r="BD36" s="39">
        <v>8</v>
      </c>
      <c r="BE36" s="39">
        <v>0</v>
      </c>
      <c r="BF36" s="39">
        <v>147</v>
      </c>
      <c r="BG36" s="39">
        <v>0</v>
      </c>
      <c r="BH36" s="39">
        <v>0</v>
      </c>
      <c r="BI36" s="39">
        <v>0</v>
      </c>
      <c r="BJ36" s="39">
        <v>1224</v>
      </c>
      <c r="BK36" s="39">
        <v>0</v>
      </c>
      <c r="BL36" s="39">
        <v>51</v>
      </c>
      <c r="BM36" s="39">
        <v>43</v>
      </c>
      <c r="BN36" s="39">
        <v>73</v>
      </c>
      <c r="BO36" s="39">
        <v>0</v>
      </c>
      <c r="BP36" s="39">
        <v>240</v>
      </c>
      <c r="BQ36" s="39">
        <v>345</v>
      </c>
      <c r="BR36" s="39">
        <v>51</v>
      </c>
      <c r="BS36" s="39">
        <v>205</v>
      </c>
      <c r="BT36" s="39">
        <v>33</v>
      </c>
      <c r="BU36" s="39">
        <v>90</v>
      </c>
      <c r="BV36" s="39">
        <v>70</v>
      </c>
      <c r="BW36" s="39">
        <v>161</v>
      </c>
      <c r="BX36" s="39">
        <v>38</v>
      </c>
      <c r="BY36" s="39">
        <v>20</v>
      </c>
      <c r="BZ36" s="39">
        <v>114</v>
      </c>
      <c r="CA36" s="39">
        <v>46</v>
      </c>
      <c r="CB36" s="39">
        <v>8</v>
      </c>
      <c r="CC36" s="39">
        <v>0</v>
      </c>
      <c r="CD36" s="39">
        <v>31</v>
      </c>
      <c r="CE36" s="39">
        <v>310</v>
      </c>
      <c r="CF36" s="39">
        <v>0</v>
      </c>
      <c r="CG36" s="39">
        <v>400</v>
      </c>
      <c r="CH36" s="39">
        <v>38</v>
      </c>
      <c r="CI36" s="39">
        <v>30</v>
      </c>
      <c r="CJ36" s="39">
        <v>0</v>
      </c>
      <c r="CK36" s="39">
        <v>153</v>
      </c>
      <c r="CL36" s="39">
        <v>0</v>
      </c>
      <c r="CM36" s="39">
        <v>0</v>
      </c>
      <c r="CN36" s="39">
        <v>78</v>
      </c>
      <c r="CO36" s="39">
        <v>30</v>
      </c>
      <c r="CP36" s="39">
        <v>0</v>
      </c>
      <c r="CQ36" s="39">
        <v>17</v>
      </c>
      <c r="CR36" s="39">
        <v>174</v>
      </c>
      <c r="CS36" s="39">
        <v>17</v>
      </c>
      <c r="CT36" s="39">
        <v>96</v>
      </c>
      <c r="CU36" s="39">
        <v>169</v>
      </c>
      <c r="CV36" s="39">
        <v>8</v>
      </c>
      <c r="CW36" s="39">
        <v>0</v>
      </c>
      <c r="CX36" s="39">
        <v>0</v>
      </c>
      <c r="CY36" s="39">
        <v>12</v>
      </c>
      <c r="CZ36" s="39">
        <v>8012</v>
      </c>
      <c r="DA36" s="39">
        <v>926</v>
      </c>
      <c r="DB36" s="39">
        <v>212</v>
      </c>
      <c r="DC36" s="39">
        <v>0</v>
      </c>
      <c r="DD36" s="39">
        <v>0</v>
      </c>
      <c r="DE36" s="39">
        <v>0</v>
      </c>
      <c r="DF36" s="39">
        <v>0</v>
      </c>
      <c r="DG36" s="39">
        <v>0</v>
      </c>
      <c r="DH36" s="39">
        <v>0</v>
      </c>
      <c r="DI36" s="39">
        <v>0</v>
      </c>
      <c r="DJ36" s="39">
        <v>0</v>
      </c>
      <c r="DK36" s="39">
        <v>0</v>
      </c>
      <c r="DL36" s="39">
        <v>0</v>
      </c>
      <c r="DM36" s="39">
        <v>988</v>
      </c>
      <c r="DN36" s="39">
        <v>51</v>
      </c>
      <c r="DO36" s="39">
        <v>1440</v>
      </c>
      <c r="DP36" s="39">
        <v>0</v>
      </c>
      <c r="DQ36" s="39">
        <v>0</v>
      </c>
      <c r="DR36" s="39">
        <v>0</v>
      </c>
      <c r="DS36" s="39">
        <v>0</v>
      </c>
      <c r="DT36" s="39">
        <v>0</v>
      </c>
      <c r="DU36" s="39">
        <v>0</v>
      </c>
      <c r="DV36" s="39">
        <v>0</v>
      </c>
      <c r="DW36" s="39">
        <v>0</v>
      </c>
      <c r="DX36" s="39">
        <v>0</v>
      </c>
      <c r="DY36" s="39">
        <v>0</v>
      </c>
      <c r="DZ36" s="39">
        <v>0</v>
      </c>
      <c r="EA36" s="39">
        <v>0</v>
      </c>
      <c r="EB36" s="39">
        <v>205</v>
      </c>
      <c r="EC36" s="39">
        <v>0</v>
      </c>
      <c r="ED36" s="39">
        <v>197</v>
      </c>
      <c r="EE36" s="39">
        <v>0</v>
      </c>
      <c r="EF36" s="39">
        <v>0</v>
      </c>
      <c r="EG36" s="39">
        <v>0</v>
      </c>
      <c r="EH36" s="39">
        <v>409</v>
      </c>
      <c r="EI36" s="39">
        <v>0</v>
      </c>
      <c r="EJ36" s="39">
        <v>0</v>
      </c>
      <c r="EK36" s="39">
        <v>0</v>
      </c>
      <c r="EL36" s="39">
        <v>164</v>
      </c>
      <c r="EM36" s="39">
        <v>52</v>
      </c>
      <c r="EN36" s="39">
        <v>0</v>
      </c>
      <c r="EO36" s="39">
        <v>0</v>
      </c>
      <c r="EP36" s="39">
        <v>80</v>
      </c>
      <c r="EQ36" s="39">
        <v>0</v>
      </c>
      <c r="ER36" s="39">
        <v>0</v>
      </c>
      <c r="ES36" s="39">
        <v>0</v>
      </c>
      <c r="ET36" s="39">
        <v>0</v>
      </c>
      <c r="EU36" s="39">
        <v>0</v>
      </c>
      <c r="EV36" s="39">
        <v>16</v>
      </c>
      <c r="EW36" s="39">
        <v>307</v>
      </c>
      <c r="EX36" s="39">
        <v>10</v>
      </c>
      <c r="EY36" s="39">
        <v>115</v>
      </c>
      <c r="EZ36" s="39">
        <v>220</v>
      </c>
      <c r="FA36" s="39">
        <v>0</v>
      </c>
      <c r="FB36" s="39">
        <v>415</v>
      </c>
      <c r="FC36" s="39">
        <v>1244</v>
      </c>
      <c r="FD36" s="39">
        <v>0</v>
      </c>
      <c r="FE36" s="39">
        <v>7051</v>
      </c>
      <c r="FF36" s="39">
        <v>15063</v>
      </c>
      <c r="FG36" s="39">
        <v>77.959999999999994</v>
      </c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</row>
    <row r="37" spans="1:192" s="37" customFormat="1" ht="39.950000000000003" customHeight="1" thickBot="1" x14ac:dyDescent="0.35">
      <c r="A37" s="40" t="s">
        <v>524</v>
      </c>
      <c r="B37" s="39">
        <v>0</v>
      </c>
      <c r="C37" s="39">
        <v>52</v>
      </c>
      <c r="D37" s="39">
        <v>16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355</v>
      </c>
      <c r="K37" s="39">
        <v>0</v>
      </c>
      <c r="L37" s="39">
        <v>0</v>
      </c>
      <c r="M37" s="39">
        <v>54</v>
      </c>
      <c r="N37" s="39">
        <v>17</v>
      </c>
      <c r="O37" s="39">
        <v>113</v>
      </c>
      <c r="P37" s="39">
        <v>147</v>
      </c>
      <c r="Q37" s="39">
        <v>145</v>
      </c>
      <c r="R37" s="39">
        <v>0</v>
      </c>
      <c r="S37" s="39">
        <v>35</v>
      </c>
      <c r="T37" s="39">
        <v>90</v>
      </c>
      <c r="U37" s="39">
        <v>0</v>
      </c>
      <c r="V37" s="39">
        <v>67</v>
      </c>
      <c r="W37" s="39">
        <v>300</v>
      </c>
      <c r="X37" s="39">
        <v>260</v>
      </c>
      <c r="Y37" s="39">
        <v>250</v>
      </c>
      <c r="Z37" s="39">
        <v>0</v>
      </c>
      <c r="AA37" s="39">
        <v>35</v>
      </c>
      <c r="AB37" s="39">
        <v>0</v>
      </c>
      <c r="AC37" s="39">
        <v>260</v>
      </c>
      <c r="AD37" s="39">
        <v>0</v>
      </c>
      <c r="AE37" s="39">
        <v>0</v>
      </c>
      <c r="AF37" s="39">
        <v>0</v>
      </c>
      <c r="AG37" s="39">
        <v>125</v>
      </c>
      <c r="AH37" s="39">
        <v>17.5</v>
      </c>
      <c r="AI37" s="39">
        <v>21</v>
      </c>
      <c r="AJ37" s="39">
        <v>0</v>
      </c>
      <c r="AK37" s="39">
        <v>300</v>
      </c>
      <c r="AL37" s="39">
        <v>0</v>
      </c>
      <c r="AM37" s="39">
        <v>0</v>
      </c>
      <c r="AN37" s="39">
        <v>12</v>
      </c>
      <c r="AO37" s="39">
        <v>0</v>
      </c>
      <c r="AP37" s="39">
        <v>0</v>
      </c>
      <c r="AQ37" s="39">
        <v>101</v>
      </c>
      <c r="AR37" s="39">
        <v>76</v>
      </c>
      <c r="AS37" s="39">
        <v>0</v>
      </c>
      <c r="AT37" s="39">
        <v>100</v>
      </c>
      <c r="AU37" s="39">
        <v>100</v>
      </c>
      <c r="AV37" s="39">
        <v>0</v>
      </c>
      <c r="AW37" s="39">
        <v>40</v>
      </c>
      <c r="AX37" s="39">
        <v>0</v>
      </c>
      <c r="AY37" s="39">
        <v>22</v>
      </c>
      <c r="AZ37" s="39">
        <v>557</v>
      </c>
      <c r="BA37" s="39">
        <v>53</v>
      </c>
      <c r="BB37" s="39">
        <v>0</v>
      </c>
      <c r="BC37" s="39">
        <v>19</v>
      </c>
      <c r="BD37" s="39">
        <v>8</v>
      </c>
      <c r="BE37" s="39">
        <v>0</v>
      </c>
      <c r="BF37" s="39">
        <v>147</v>
      </c>
      <c r="BG37" s="39">
        <v>0</v>
      </c>
      <c r="BH37" s="39">
        <v>0</v>
      </c>
      <c r="BI37" s="39">
        <v>0</v>
      </c>
      <c r="BJ37" s="39">
        <v>1225</v>
      </c>
      <c r="BK37" s="39">
        <v>0</v>
      </c>
      <c r="BL37" s="39">
        <v>51</v>
      </c>
      <c r="BM37" s="39">
        <v>75</v>
      </c>
      <c r="BN37" s="39">
        <v>73</v>
      </c>
      <c r="BO37" s="39">
        <v>0</v>
      </c>
      <c r="BP37" s="39">
        <v>243</v>
      </c>
      <c r="BQ37" s="39">
        <v>345</v>
      </c>
      <c r="BR37" s="39">
        <v>52</v>
      </c>
      <c r="BS37" s="39">
        <v>195</v>
      </c>
      <c r="BT37" s="39">
        <v>33</v>
      </c>
      <c r="BU37" s="39">
        <v>79</v>
      </c>
      <c r="BV37" s="39">
        <v>70</v>
      </c>
      <c r="BW37" s="39">
        <v>159</v>
      </c>
      <c r="BX37" s="39">
        <v>39</v>
      </c>
      <c r="BY37" s="39">
        <v>20</v>
      </c>
      <c r="BZ37" s="39">
        <v>114</v>
      </c>
      <c r="CA37" s="39">
        <v>48</v>
      </c>
      <c r="CB37" s="39">
        <v>43</v>
      </c>
      <c r="CC37" s="39">
        <v>0</v>
      </c>
      <c r="CD37" s="39">
        <v>31</v>
      </c>
      <c r="CE37" s="39">
        <v>315</v>
      </c>
      <c r="CF37" s="39">
        <v>0</v>
      </c>
      <c r="CG37" s="39">
        <v>359</v>
      </c>
      <c r="CH37" s="39">
        <v>37</v>
      </c>
      <c r="CI37" s="39">
        <v>30</v>
      </c>
      <c r="CJ37" s="39">
        <v>0</v>
      </c>
      <c r="CK37" s="39">
        <v>153</v>
      </c>
      <c r="CL37" s="39">
        <v>0</v>
      </c>
      <c r="CM37" s="39">
        <v>0</v>
      </c>
      <c r="CN37" s="39">
        <v>78</v>
      </c>
      <c r="CO37" s="39">
        <v>30</v>
      </c>
      <c r="CP37" s="39">
        <v>0</v>
      </c>
      <c r="CQ37" s="39">
        <v>17</v>
      </c>
      <c r="CR37" s="39">
        <v>174</v>
      </c>
      <c r="CS37" s="39">
        <v>17</v>
      </c>
      <c r="CT37" s="39">
        <v>65</v>
      </c>
      <c r="CU37" s="39">
        <v>170</v>
      </c>
      <c r="CV37" s="39">
        <v>8</v>
      </c>
      <c r="CW37" s="39">
        <v>0</v>
      </c>
      <c r="CX37" s="39">
        <v>0</v>
      </c>
      <c r="CY37" s="39">
        <v>12</v>
      </c>
      <c r="CZ37" s="39">
        <v>8254.5</v>
      </c>
      <c r="DA37" s="39">
        <v>926</v>
      </c>
      <c r="DB37" s="39">
        <v>202</v>
      </c>
      <c r="DC37" s="39">
        <v>0</v>
      </c>
      <c r="DD37" s="39">
        <v>0</v>
      </c>
      <c r="DE37" s="39">
        <v>0</v>
      </c>
      <c r="DF37" s="39">
        <v>0</v>
      </c>
      <c r="DG37" s="39">
        <v>0</v>
      </c>
      <c r="DH37" s="39">
        <v>0</v>
      </c>
      <c r="DI37" s="39">
        <v>0</v>
      </c>
      <c r="DJ37" s="39">
        <v>0</v>
      </c>
      <c r="DK37" s="39">
        <v>0</v>
      </c>
      <c r="DL37" s="39">
        <v>0</v>
      </c>
      <c r="DM37" s="39">
        <v>597</v>
      </c>
      <c r="DN37" s="39">
        <v>51</v>
      </c>
      <c r="DO37" s="39">
        <v>1451</v>
      </c>
      <c r="DP37" s="39">
        <v>0</v>
      </c>
      <c r="DQ37" s="39">
        <v>0</v>
      </c>
      <c r="DR37" s="39">
        <v>0</v>
      </c>
      <c r="DS37" s="39">
        <v>85</v>
      </c>
      <c r="DT37" s="39">
        <v>0</v>
      </c>
      <c r="DU37" s="39">
        <v>0</v>
      </c>
      <c r="DV37" s="39">
        <v>35</v>
      </c>
      <c r="DW37" s="39">
        <v>0</v>
      </c>
      <c r="DX37" s="39">
        <v>0</v>
      </c>
      <c r="DY37" s="39">
        <v>0</v>
      </c>
      <c r="DZ37" s="39">
        <v>0</v>
      </c>
      <c r="EA37" s="39">
        <v>0</v>
      </c>
      <c r="EB37" s="39">
        <v>204</v>
      </c>
      <c r="EC37" s="39">
        <v>0</v>
      </c>
      <c r="ED37" s="39">
        <v>190</v>
      </c>
      <c r="EE37" s="39">
        <v>0</v>
      </c>
      <c r="EF37" s="39">
        <v>0</v>
      </c>
      <c r="EG37" s="39">
        <v>0</v>
      </c>
      <c r="EH37" s="39">
        <v>394</v>
      </c>
      <c r="EI37" s="39">
        <v>0</v>
      </c>
      <c r="EJ37" s="39">
        <v>0</v>
      </c>
      <c r="EK37" s="39">
        <v>0</v>
      </c>
      <c r="EL37" s="39">
        <v>168</v>
      </c>
      <c r="EM37" s="39">
        <v>52</v>
      </c>
      <c r="EN37" s="39">
        <v>115</v>
      </c>
      <c r="EO37" s="39">
        <v>0</v>
      </c>
      <c r="EP37" s="39">
        <v>113</v>
      </c>
      <c r="EQ37" s="39">
        <v>0</v>
      </c>
      <c r="ER37" s="39">
        <v>0</v>
      </c>
      <c r="ES37" s="39">
        <v>0</v>
      </c>
      <c r="ET37" s="39">
        <v>0</v>
      </c>
      <c r="EU37" s="39">
        <v>0</v>
      </c>
      <c r="EV37" s="39">
        <v>110</v>
      </c>
      <c r="EW37" s="39">
        <v>307</v>
      </c>
      <c r="EX37" s="39">
        <v>11</v>
      </c>
      <c r="EY37" s="39">
        <v>115</v>
      </c>
      <c r="EZ37" s="39">
        <v>220</v>
      </c>
      <c r="FA37" s="39">
        <v>0</v>
      </c>
      <c r="FB37" s="39">
        <v>343</v>
      </c>
      <c r="FC37" s="39">
        <v>1244</v>
      </c>
      <c r="FD37" s="39">
        <v>35</v>
      </c>
      <c r="FE37" s="39">
        <v>6968</v>
      </c>
      <c r="FF37" s="39">
        <v>15222.5</v>
      </c>
      <c r="FG37" s="39">
        <v>77.95</v>
      </c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</row>
    <row r="38" spans="1:192" s="36" customFormat="1" ht="39.950000000000003" customHeight="1" thickBot="1" x14ac:dyDescent="0.3">
      <c r="A38" s="108" t="s">
        <v>523</v>
      </c>
      <c r="B38" s="106">
        <v>226080</v>
      </c>
      <c r="C38" s="106">
        <v>926400</v>
      </c>
      <c r="D38" s="106">
        <v>470880</v>
      </c>
      <c r="E38" s="106">
        <v>0</v>
      </c>
      <c r="F38" s="106">
        <v>0</v>
      </c>
      <c r="G38" s="106">
        <v>0</v>
      </c>
      <c r="H38" s="106">
        <v>0</v>
      </c>
      <c r="I38" s="106">
        <v>0</v>
      </c>
      <c r="J38" s="106">
        <v>8521200</v>
      </c>
      <c r="K38" s="106">
        <v>0</v>
      </c>
      <c r="L38" s="106">
        <v>0</v>
      </c>
      <c r="M38" s="106">
        <v>582840</v>
      </c>
      <c r="N38" s="106">
        <v>403920</v>
      </c>
      <c r="O38" s="106">
        <v>2626416</v>
      </c>
      <c r="P38" s="106">
        <v>2218560</v>
      </c>
      <c r="Q38" s="106">
        <v>3212138</v>
      </c>
      <c r="R38" s="106">
        <v>780632</v>
      </c>
      <c r="S38" s="106">
        <v>593369</v>
      </c>
      <c r="T38" s="106">
        <v>1771200</v>
      </c>
      <c r="U38" s="106">
        <v>0</v>
      </c>
      <c r="V38" s="106">
        <v>796800</v>
      </c>
      <c r="W38" s="106">
        <v>7661500</v>
      </c>
      <c r="X38" s="106">
        <v>6759156</v>
      </c>
      <c r="Y38" s="106">
        <v>6127176</v>
      </c>
      <c r="Z38" s="106">
        <v>0</v>
      </c>
      <c r="AA38" s="106">
        <v>600325</v>
      </c>
      <c r="AB38" s="106">
        <v>0</v>
      </c>
      <c r="AC38" s="106">
        <v>6278166</v>
      </c>
      <c r="AD38" s="106">
        <v>0</v>
      </c>
      <c r="AE38" s="106">
        <v>0</v>
      </c>
      <c r="AF38" s="106">
        <v>214565</v>
      </c>
      <c r="AG38" s="106">
        <v>1497600</v>
      </c>
      <c r="AH38" s="106">
        <v>379200</v>
      </c>
      <c r="AI38" s="106">
        <v>498240</v>
      </c>
      <c r="AJ38" s="106">
        <v>0</v>
      </c>
      <c r="AK38" s="106">
        <v>7565454.5499999998</v>
      </c>
      <c r="AL38" s="106">
        <v>489273</v>
      </c>
      <c r="AM38" s="106">
        <v>474218</v>
      </c>
      <c r="AN38" s="106">
        <v>432000</v>
      </c>
      <c r="AO38" s="106">
        <v>0</v>
      </c>
      <c r="AP38" s="106">
        <v>53280</v>
      </c>
      <c r="AQ38" s="106">
        <v>1429261</v>
      </c>
      <c r="AR38" s="106">
        <v>991392</v>
      </c>
      <c r="AS38" s="106">
        <v>195504</v>
      </c>
      <c r="AT38" s="106">
        <v>2243520</v>
      </c>
      <c r="AU38" s="106">
        <v>1632000</v>
      </c>
      <c r="AV38" s="106">
        <v>26926</v>
      </c>
      <c r="AW38" s="106">
        <v>946500</v>
      </c>
      <c r="AX38" s="106">
        <v>878182</v>
      </c>
      <c r="AY38" s="106">
        <v>277440</v>
      </c>
      <c r="AZ38" s="106">
        <v>12443636.359999999</v>
      </c>
      <c r="BA38" s="106">
        <v>1134109</v>
      </c>
      <c r="BB38" s="106">
        <v>0</v>
      </c>
      <c r="BC38" s="106">
        <v>689760</v>
      </c>
      <c r="BD38" s="106">
        <v>294458.40000000002</v>
      </c>
      <c r="BE38" s="106">
        <v>749382</v>
      </c>
      <c r="BF38" s="106">
        <v>3450145</v>
      </c>
      <c r="BG38" s="106">
        <v>0</v>
      </c>
      <c r="BH38" s="106">
        <v>0</v>
      </c>
      <c r="BI38" s="106">
        <v>0</v>
      </c>
      <c r="BJ38" s="106">
        <v>27654543</v>
      </c>
      <c r="BK38" s="106">
        <v>129195</v>
      </c>
      <c r="BL38" s="106">
        <v>1148676</v>
      </c>
      <c r="BM38" s="106">
        <v>2072509</v>
      </c>
      <c r="BN38" s="106">
        <v>2442182</v>
      </c>
      <c r="BO38" s="106">
        <v>0</v>
      </c>
      <c r="BP38" s="106">
        <v>4412400</v>
      </c>
      <c r="BQ38" s="106">
        <v>8090000</v>
      </c>
      <c r="BR38" s="106">
        <v>932160</v>
      </c>
      <c r="BS38" s="106">
        <v>4856000</v>
      </c>
      <c r="BT38" s="106">
        <v>780552</v>
      </c>
      <c r="BU38" s="106">
        <v>1660800</v>
      </c>
      <c r="BV38" s="106">
        <v>1356820</v>
      </c>
      <c r="BW38" s="106">
        <v>3679200</v>
      </c>
      <c r="BX38" s="106">
        <v>441840</v>
      </c>
      <c r="BY38" s="106">
        <v>385560</v>
      </c>
      <c r="BZ38" s="106">
        <v>2696100</v>
      </c>
      <c r="CA38" s="106">
        <v>998400</v>
      </c>
      <c r="CB38" s="106">
        <v>957758</v>
      </c>
      <c r="CC38" s="106">
        <v>497845</v>
      </c>
      <c r="CD38" s="106">
        <v>752032</v>
      </c>
      <c r="CE38" s="106">
        <v>7407000</v>
      </c>
      <c r="CF38" s="106">
        <v>0</v>
      </c>
      <c r="CG38" s="106">
        <v>8532000</v>
      </c>
      <c r="CH38" s="106">
        <v>866000</v>
      </c>
      <c r="CI38" s="106">
        <v>677640</v>
      </c>
      <c r="CJ38" s="106">
        <v>0</v>
      </c>
      <c r="CK38" s="106">
        <v>3496418</v>
      </c>
      <c r="CL38" s="106">
        <v>80112</v>
      </c>
      <c r="CM38" s="106">
        <v>0</v>
      </c>
      <c r="CN38" s="106">
        <v>1727040</v>
      </c>
      <c r="CO38" s="106">
        <v>674688</v>
      </c>
      <c r="CP38" s="106">
        <v>0</v>
      </c>
      <c r="CQ38" s="106">
        <v>389000</v>
      </c>
      <c r="CR38" s="106">
        <v>4574170</v>
      </c>
      <c r="CS38" s="106">
        <v>132840</v>
      </c>
      <c r="CT38" s="106">
        <v>1480800</v>
      </c>
      <c r="CU38" s="106">
        <v>2544000</v>
      </c>
      <c r="CV38" s="106">
        <v>320640</v>
      </c>
      <c r="CW38" s="106">
        <v>13000</v>
      </c>
      <c r="CX38" s="106">
        <v>273250</v>
      </c>
      <c r="CY38" s="106">
        <v>289440</v>
      </c>
      <c r="CZ38" s="106">
        <v>188965414.31</v>
      </c>
      <c r="DA38" s="106">
        <v>22062545</v>
      </c>
      <c r="DB38" s="106">
        <v>5615136</v>
      </c>
      <c r="DC38" s="106">
        <v>0</v>
      </c>
      <c r="DD38" s="106">
        <v>30720</v>
      </c>
      <c r="DE38" s="106">
        <v>4096</v>
      </c>
      <c r="DF38" s="106">
        <v>0</v>
      </c>
      <c r="DG38" s="106">
        <v>0</v>
      </c>
      <c r="DH38" s="106">
        <v>0</v>
      </c>
      <c r="DI38" s="106">
        <v>0</v>
      </c>
      <c r="DJ38" s="106">
        <v>0</v>
      </c>
      <c r="DK38" s="106">
        <v>0</v>
      </c>
      <c r="DL38" s="106">
        <v>712800</v>
      </c>
      <c r="DM38" s="106">
        <v>22720004</v>
      </c>
      <c r="DN38" s="106">
        <v>410400</v>
      </c>
      <c r="DO38" s="106">
        <v>33168454.059999999</v>
      </c>
      <c r="DP38" s="106">
        <v>0</v>
      </c>
      <c r="DQ38" s="106">
        <v>162669</v>
      </c>
      <c r="DR38" s="106">
        <v>0</v>
      </c>
      <c r="DS38" s="106">
        <v>1442592</v>
      </c>
      <c r="DT38" s="106">
        <v>83793</v>
      </c>
      <c r="DU38" s="106">
        <v>352480</v>
      </c>
      <c r="DV38" s="106">
        <v>743712</v>
      </c>
      <c r="DW38" s="106">
        <v>136390</v>
      </c>
      <c r="DX38" s="106">
        <v>176746</v>
      </c>
      <c r="DY38" s="106">
        <v>783450</v>
      </c>
      <c r="DZ38" s="106">
        <v>0</v>
      </c>
      <c r="EA38" s="106">
        <v>355496</v>
      </c>
      <c r="EB38" s="106">
        <v>4792364</v>
      </c>
      <c r="EC38" s="106">
        <v>0</v>
      </c>
      <c r="ED38" s="106">
        <v>4710745</v>
      </c>
      <c r="EE38" s="106">
        <v>0</v>
      </c>
      <c r="EF38" s="106">
        <v>0</v>
      </c>
      <c r="EG38" s="106">
        <v>0</v>
      </c>
      <c r="EH38" s="106">
        <v>8651345</v>
      </c>
      <c r="EI38" s="106">
        <v>0</v>
      </c>
      <c r="EJ38" s="106">
        <v>29040</v>
      </c>
      <c r="EK38" s="106">
        <v>0</v>
      </c>
      <c r="EL38" s="106">
        <v>4072000</v>
      </c>
      <c r="EM38" s="106">
        <v>1164218</v>
      </c>
      <c r="EN38" s="106">
        <v>1623495</v>
      </c>
      <c r="EO38" s="106">
        <v>227110</v>
      </c>
      <c r="EP38" s="106">
        <v>1913664</v>
      </c>
      <c r="EQ38" s="106">
        <v>0</v>
      </c>
      <c r="ER38" s="106">
        <v>0</v>
      </c>
      <c r="ES38" s="106">
        <v>47560.800000000003</v>
      </c>
      <c r="ET38" s="106">
        <v>1355760</v>
      </c>
      <c r="EU38" s="106">
        <v>5013</v>
      </c>
      <c r="EV38" s="106">
        <v>471360</v>
      </c>
      <c r="EW38" s="106">
        <v>6501000</v>
      </c>
      <c r="EX38" s="106">
        <v>237063</v>
      </c>
      <c r="EY38" s="106">
        <v>2605000</v>
      </c>
      <c r="EZ38" s="106">
        <v>5216510</v>
      </c>
      <c r="FA38" s="106">
        <v>0</v>
      </c>
      <c r="FB38" s="106">
        <v>8660952</v>
      </c>
      <c r="FC38" s="106">
        <v>27015272.73</v>
      </c>
      <c r="FD38" s="106">
        <v>529200</v>
      </c>
      <c r="FE38" s="106">
        <v>168790155.59</v>
      </c>
      <c r="FF38" s="106">
        <v>357755569.89999998</v>
      </c>
      <c r="FG38" s="111"/>
      <c r="FH38" s="109"/>
      <c r="FI38" s="109"/>
      <c r="FJ38" s="109"/>
      <c r="FK38" s="109"/>
      <c r="FL38" s="109"/>
      <c r="FM38" s="109"/>
      <c r="FN38" s="109"/>
      <c r="FO38" s="109"/>
      <c r="FP38" s="109"/>
      <c r="FQ38" s="109"/>
      <c r="FR38" s="109"/>
      <c r="FS38" s="109"/>
      <c r="FT38" s="109"/>
      <c r="FU38" s="109"/>
      <c r="FV38" s="109"/>
      <c r="FW38" s="109"/>
      <c r="FX38" s="109"/>
      <c r="FY38" s="109"/>
      <c r="FZ38" s="109"/>
      <c r="GA38" s="109"/>
      <c r="GB38" s="109"/>
      <c r="GC38" s="109"/>
      <c r="GD38" s="109"/>
      <c r="GE38" s="109"/>
      <c r="GF38" s="109"/>
      <c r="GG38" s="109"/>
      <c r="GH38" s="109"/>
      <c r="GI38" s="109"/>
      <c r="GJ38" s="109"/>
    </row>
    <row r="39" spans="1:192" s="36" customFormat="1" ht="39.950000000000003" customHeight="1" thickBot="1" x14ac:dyDescent="0.3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7"/>
      <c r="BV39" s="107"/>
      <c r="BW39" s="107"/>
      <c r="BX39" s="107"/>
      <c r="BY39" s="107"/>
      <c r="BZ39" s="107"/>
      <c r="CA39" s="107"/>
      <c r="CB39" s="107"/>
      <c r="CC39" s="107"/>
      <c r="CD39" s="107"/>
      <c r="CE39" s="107"/>
      <c r="CF39" s="107"/>
      <c r="CG39" s="107"/>
      <c r="CH39" s="107"/>
      <c r="CI39" s="107"/>
      <c r="CJ39" s="107"/>
      <c r="CK39" s="107"/>
      <c r="CL39" s="107"/>
      <c r="CM39" s="107"/>
      <c r="CN39" s="107"/>
      <c r="CO39" s="107"/>
      <c r="CP39" s="107"/>
      <c r="CQ39" s="107"/>
      <c r="CR39" s="107"/>
      <c r="CS39" s="107"/>
      <c r="CT39" s="107"/>
      <c r="CU39" s="107"/>
      <c r="CV39" s="107"/>
      <c r="CW39" s="107"/>
      <c r="CX39" s="107"/>
      <c r="CY39" s="107"/>
      <c r="CZ39" s="107"/>
      <c r="DA39" s="107"/>
      <c r="DB39" s="107"/>
      <c r="DC39" s="107"/>
      <c r="DD39" s="107"/>
      <c r="DE39" s="107"/>
      <c r="DF39" s="107"/>
      <c r="DG39" s="107"/>
      <c r="DH39" s="107"/>
      <c r="DI39" s="107"/>
      <c r="DJ39" s="107"/>
      <c r="DK39" s="107"/>
      <c r="DL39" s="107"/>
      <c r="DM39" s="107"/>
      <c r="DN39" s="107"/>
      <c r="DO39" s="107"/>
      <c r="DP39" s="107"/>
      <c r="DQ39" s="107"/>
      <c r="DR39" s="107"/>
      <c r="DS39" s="107"/>
      <c r="DT39" s="107"/>
      <c r="DU39" s="107"/>
      <c r="DV39" s="107"/>
      <c r="DW39" s="107"/>
      <c r="DX39" s="107"/>
      <c r="DY39" s="107"/>
      <c r="DZ39" s="107"/>
      <c r="EA39" s="107"/>
      <c r="EB39" s="107"/>
      <c r="EC39" s="107"/>
      <c r="ED39" s="107"/>
      <c r="EE39" s="107"/>
      <c r="EF39" s="107"/>
      <c r="EG39" s="107"/>
      <c r="EH39" s="107"/>
      <c r="EI39" s="107"/>
      <c r="EJ39" s="107"/>
      <c r="EK39" s="107"/>
      <c r="EL39" s="107"/>
      <c r="EM39" s="107"/>
      <c r="EN39" s="107"/>
      <c r="EO39" s="107"/>
      <c r="EP39" s="107"/>
      <c r="EQ39" s="107"/>
      <c r="ER39" s="107"/>
      <c r="ES39" s="107"/>
      <c r="ET39" s="107"/>
      <c r="EU39" s="107"/>
      <c r="EV39" s="107"/>
      <c r="EW39" s="107"/>
      <c r="EX39" s="107"/>
      <c r="EY39" s="107"/>
      <c r="EZ39" s="107"/>
      <c r="FA39" s="107"/>
      <c r="FB39" s="107"/>
      <c r="FC39" s="107"/>
      <c r="FD39" s="107"/>
      <c r="FE39" s="107"/>
      <c r="FF39" s="107"/>
      <c r="FG39" s="107"/>
      <c r="FH39" s="110"/>
      <c r="FI39" s="110"/>
      <c r="FJ39" s="110"/>
      <c r="FK39" s="110"/>
      <c r="FL39" s="110"/>
      <c r="FM39" s="110"/>
      <c r="FN39" s="110"/>
      <c r="FO39" s="110"/>
      <c r="FP39" s="110"/>
      <c r="FQ39" s="110"/>
      <c r="FR39" s="110"/>
      <c r="FS39" s="110"/>
      <c r="FT39" s="110"/>
      <c r="FU39" s="110"/>
      <c r="FV39" s="110"/>
      <c r="FW39" s="110"/>
      <c r="FX39" s="110"/>
      <c r="FY39" s="110"/>
      <c r="FZ39" s="110"/>
      <c r="GA39" s="110"/>
      <c r="GB39" s="110"/>
      <c r="GC39" s="110"/>
      <c r="GD39" s="110"/>
      <c r="GE39" s="110"/>
      <c r="GF39" s="110"/>
      <c r="GG39" s="110"/>
      <c r="GH39" s="110"/>
      <c r="GI39" s="110"/>
      <c r="GJ39" s="110"/>
    </row>
    <row r="40" spans="1:192" s="36" customFormat="1" ht="39.950000000000003" customHeight="1" thickBot="1" x14ac:dyDescent="0.3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  <c r="BY40" s="107"/>
      <c r="BZ40" s="107"/>
      <c r="CA40" s="107"/>
      <c r="CB40" s="107"/>
      <c r="CC40" s="107"/>
      <c r="CD40" s="107"/>
      <c r="CE40" s="107"/>
      <c r="CF40" s="107"/>
      <c r="CG40" s="107"/>
      <c r="CH40" s="107"/>
      <c r="CI40" s="107"/>
      <c r="CJ40" s="107"/>
      <c r="CK40" s="107"/>
      <c r="CL40" s="107"/>
      <c r="CM40" s="107"/>
      <c r="CN40" s="107"/>
      <c r="CO40" s="107"/>
      <c r="CP40" s="107"/>
      <c r="CQ40" s="107"/>
      <c r="CR40" s="107"/>
      <c r="CS40" s="107"/>
      <c r="CT40" s="107"/>
      <c r="CU40" s="107"/>
      <c r="CV40" s="107"/>
      <c r="CW40" s="107"/>
      <c r="CX40" s="107"/>
      <c r="CY40" s="107"/>
      <c r="CZ40" s="107"/>
      <c r="DA40" s="107"/>
      <c r="DB40" s="107"/>
      <c r="DC40" s="107"/>
      <c r="DD40" s="107"/>
      <c r="DE40" s="107"/>
      <c r="DF40" s="107"/>
      <c r="DG40" s="107"/>
      <c r="DH40" s="107"/>
      <c r="DI40" s="107"/>
      <c r="DJ40" s="107"/>
      <c r="DK40" s="107"/>
      <c r="DL40" s="107"/>
      <c r="DM40" s="107"/>
      <c r="DN40" s="107"/>
      <c r="DO40" s="107"/>
      <c r="DP40" s="107"/>
      <c r="DQ40" s="107"/>
      <c r="DR40" s="107"/>
      <c r="DS40" s="107"/>
      <c r="DT40" s="107"/>
      <c r="DU40" s="107"/>
      <c r="DV40" s="107"/>
      <c r="DW40" s="107"/>
      <c r="DX40" s="107"/>
      <c r="DY40" s="107"/>
      <c r="DZ40" s="107"/>
      <c r="EA40" s="107"/>
      <c r="EB40" s="107"/>
      <c r="EC40" s="107"/>
      <c r="ED40" s="107"/>
      <c r="EE40" s="107"/>
      <c r="EF40" s="107"/>
      <c r="EG40" s="107"/>
      <c r="EH40" s="107"/>
      <c r="EI40" s="107"/>
      <c r="EJ40" s="107"/>
      <c r="EK40" s="107"/>
      <c r="EL40" s="107"/>
      <c r="EM40" s="107"/>
      <c r="EN40" s="107"/>
      <c r="EO40" s="107"/>
      <c r="EP40" s="107"/>
      <c r="EQ40" s="107"/>
      <c r="ER40" s="107"/>
      <c r="ES40" s="107"/>
      <c r="ET40" s="107"/>
      <c r="EU40" s="107"/>
      <c r="EV40" s="107"/>
      <c r="EW40" s="107"/>
      <c r="EX40" s="107"/>
      <c r="EY40" s="107"/>
      <c r="EZ40" s="107"/>
      <c r="FA40" s="107"/>
      <c r="FB40" s="107"/>
      <c r="FC40" s="107"/>
      <c r="FD40" s="107"/>
      <c r="FE40" s="107"/>
      <c r="FF40" s="107"/>
      <c r="FG40" s="107"/>
      <c r="FH40" s="110"/>
      <c r="FI40" s="110"/>
      <c r="FJ40" s="110"/>
      <c r="FK40" s="110"/>
      <c r="FL40" s="110"/>
      <c r="FM40" s="110"/>
      <c r="FN40" s="110"/>
      <c r="FO40" s="110"/>
      <c r="FP40" s="110"/>
      <c r="FQ40" s="110"/>
      <c r="FR40" s="110"/>
      <c r="FS40" s="110"/>
      <c r="FT40" s="110"/>
      <c r="FU40" s="110"/>
      <c r="FV40" s="110"/>
      <c r="FW40" s="110"/>
      <c r="FX40" s="110"/>
      <c r="FY40" s="110"/>
      <c r="FZ40" s="110"/>
      <c r="GA40" s="110"/>
      <c r="GB40" s="110"/>
      <c r="GC40" s="110"/>
      <c r="GD40" s="110"/>
      <c r="GE40" s="110"/>
      <c r="GF40" s="110"/>
      <c r="GG40" s="110"/>
      <c r="GH40" s="110"/>
      <c r="GI40" s="110"/>
      <c r="GJ40" s="110"/>
    </row>
    <row r="41" spans="1:192" s="36" customFormat="1" ht="39.950000000000003" customHeight="1" thickBot="1" x14ac:dyDescent="0.3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  <c r="BY41" s="107"/>
      <c r="BZ41" s="107"/>
      <c r="CA41" s="107"/>
      <c r="CB41" s="107"/>
      <c r="CC41" s="107"/>
      <c r="CD41" s="107"/>
      <c r="CE41" s="107"/>
      <c r="CF41" s="107"/>
      <c r="CG41" s="107"/>
      <c r="CH41" s="107"/>
      <c r="CI41" s="107"/>
      <c r="CJ41" s="107"/>
      <c r="CK41" s="107"/>
      <c r="CL41" s="107"/>
      <c r="CM41" s="107"/>
      <c r="CN41" s="107"/>
      <c r="CO41" s="107"/>
      <c r="CP41" s="107"/>
      <c r="CQ41" s="107"/>
      <c r="CR41" s="107"/>
      <c r="CS41" s="107"/>
      <c r="CT41" s="107"/>
      <c r="CU41" s="107"/>
      <c r="CV41" s="107"/>
      <c r="CW41" s="107"/>
      <c r="CX41" s="107"/>
      <c r="CY41" s="107"/>
      <c r="CZ41" s="107"/>
      <c r="DA41" s="107"/>
      <c r="DB41" s="107"/>
      <c r="DC41" s="107"/>
      <c r="DD41" s="107"/>
      <c r="DE41" s="107"/>
      <c r="DF41" s="107"/>
      <c r="DG41" s="107"/>
      <c r="DH41" s="107"/>
      <c r="DI41" s="107"/>
      <c r="DJ41" s="107"/>
      <c r="DK41" s="107"/>
      <c r="DL41" s="107"/>
      <c r="DM41" s="107"/>
      <c r="DN41" s="107"/>
      <c r="DO41" s="107"/>
      <c r="DP41" s="107"/>
      <c r="DQ41" s="107"/>
      <c r="DR41" s="107"/>
      <c r="DS41" s="107"/>
      <c r="DT41" s="107"/>
      <c r="DU41" s="107"/>
      <c r="DV41" s="107"/>
      <c r="DW41" s="107"/>
      <c r="DX41" s="107"/>
      <c r="DY41" s="107"/>
      <c r="DZ41" s="107"/>
      <c r="EA41" s="107"/>
      <c r="EB41" s="107"/>
      <c r="EC41" s="107"/>
      <c r="ED41" s="107"/>
      <c r="EE41" s="107"/>
      <c r="EF41" s="107"/>
      <c r="EG41" s="107"/>
      <c r="EH41" s="107"/>
      <c r="EI41" s="107"/>
      <c r="EJ41" s="107"/>
      <c r="EK41" s="107"/>
      <c r="EL41" s="107"/>
      <c r="EM41" s="107"/>
      <c r="EN41" s="107"/>
      <c r="EO41" s="107"/>
      <c r="EP41" s="107"/>
      <c r="EQ41" s="107"/>
      <c r="ER41" s="107"/>
      <c r="ES41" s="107"/>
      <c r="ET41" s="107"/>
      <c r="EU41" s="107"/>
      <c r="EV41" s="107"/>
      <c r="EW41" s="107"/>
      <c r="EX41" s="107"/>
      <c r="EY41" s="107"/>
      <c r="EZ41" s="107"/>
      <c r="FA41" s="107"/>
      <c r="FB41" s="107"/>
      <c r="FC41" s="107"/>
      <c r="FD41" s="107"/>
      <c r="FE41" s="107"/>
      <c r="FF41" s="107"/>
      <c r="FG41" s="107"/>
      <c r="FH41" s="110"/>
      <c r="FI41" s="110"/>
      <c r="FJ41" s="110"/>
      <c r="FK41" s="110"/>
      <c r="FL41" s="110"/>
      <c r="FM41" s="110"/>
      <c r="FN41" s="110"/>
      <c r="FO41" s="110"/>
      <c r="FP41" s="110"/>
      <c r="FQ41" s="110"/>
      <c r="FR41" s="110"/>
      <c r="FS41" s="110"/>
      <c r="FT41" s="110"/>
      <c r="FU41" s="110"/>
      <c r="FV41" s="110"/>
      <c r="FW41" s="110"/>
      <c r="FX41" s="110"/>
      <c r="FY41" s="110"/>
      <c r="FZ41" s="110"/>
      <c r="GA41" s="110"/>
      <c r="GB41" s="110"/>
      <c r="GC41" s="110"/>
      <c r="GD41" s="110"/>
      <c r="GE41" s="110"/>
      <c r="GF41" s="110"/>
      <c r="GG41" s="110"/>
      <c r="GH41" s="110"/>
      <c r="GI41" s="110"/>
      <c r="GJ41" s="110"/>
    </row>
    <row r="42" spans="1:192" s="36" customFormat="1" ht="10.5" customHeight="1" x14ac:dyDescent="0.25"/>
    <row r="48" spans="1:192" x14ac:dyDescent="0.2">
      <c r="FG48" s="35"/>
    </row>
  </sheetData>
  <mergeCells count="243">
    <mergeCell ref="A11:A12"/>
    <mergeCell ref="ES2:ET2"/>
    <mergeCell ref="ES3:ET3"/>
    <mergeCell ref="CI7:CL7"/>
    <mergeCell ref="CI8:CL8"/>
    <mergeCell ref="GI38:GI41"/>
    <mergeCell ref="EJ38:EJ41"/>
    <mergeCell ref="EI38:EI41"/>
    <mergeCell ref="GC38:GC41"/>
    <mergeCell ref="GD38:GD41"/>
    <mergeCell ref="GJ38:GJ41"/>
    <mergeCell ref="EW38:EW41"/>
    <mergeCell ref="EM38:EM41"/>
    <mergeCell ref="EF38:EF41"/>
    <mergeCell ref="EO38:EO41"/>
    <mergeCell ref="EP38:EP41"/>
    <mergeCell ref="EQ38:EQ41"/>
    <mergeCell ref="ER38:ER41"/>
    <mergeCell ref="ES38:ES41"/>
    <mergeCell ref="EN38:EN41"/>
    <mergeCell ref="E6:I6"/>
    <mergeCell ref="C6:D6"/>
    <mergeCell ref="C7:D7"/>
    <mergeCell ref="C8:D8"/>
    <mergeCell ref="C9:D9"/>
    <mergeCell ref="E7:I7"/>
    <mergeCell ref="E8:I8"/>
    <mergeCell ref="E9:I9"/>
    <mergeCell ref="EZ38:EZ41"/>
    <mergeCell ref="ET38:ET41"/>
    <mergeCell ref="EU38:EU41"/>
    <mergeCell ref="EV38:EV41"/>
    <mergeCell ref="EX38:EX41"/>
    <mergeCell ref="EY38:EY41"/>
    <mergeCell ref="GH38:GH41"/>
    <mergeCell ref="DM7:DP7"/>
    <mergeCell ref="DM8:DP8"/>
    <mergeCell ref="FZ38:FZ41"/>
    <mergeCell ref="FW38:FW41"/>
    <mergeCell ref="GA38:GA41"/>
    <mergeCell ref="DU38:DU41"/>
    <mergeCell ref="DX38:DX41"/>
    <mergeCell ref="DT38:DT41"/>
    <mergeCell ref="DZ38:DZ41"/>
    <mergeCell ref="EA38:EA41"/>
    <mergeCell ref="DY38:DY41"/>
    <mergeCell ref="DV38:DV41"/>
    <mergeCell ref="FA38:FA41"/>
    <mergeCell ref="FB38:FB41"/>
    <mergeCell ref="FC38:FC41"/>
    <mergeCell ref="FD38:FD41"/>
    <mergeCell ref="FE38:FE41"/>
    <mergeCell ref="FF38:FF41"/>
    <mergeCell ref="FG38:FG41"/>
    <mergeCell ref="FH38:FH41"/>
    <mergeCell ref="FI38:FI41"/>
    <mergeCell ref="GB38:GB41"/>
    <mergeCell ref="GF38:GF41"/>
    <mergeCell ref="GG38:GG41"/>
    <mergeCell ref="FS38:FS41"/>
    <mergeCell ref="FT38:FT41"/>
    <mergeCell ref="FU38:FU41"/>
    <mergeCell ref="FP38:FP41"/>
    <mergeCell ref="FQ38:FQ41"/>
    <mergeCell ref="FR38:FR41"/>
    <mergeCell ref="GE38:GE41"/>
    <mergeCell ref="FV38:FV41"/>
    <mergeCell ref="FX38:FX41"/>
    <mergeCell ref="FY38:FY41"/>
    <mergeCell ref="FJ38:FJ41"/>
    <mergeCell ref="FK38:FK41"/>
    <mergeCell ref="FL38:FL41"/>
    <mergeCell ref="FM38:FM41"/>
    <mergeCell ref="FN38:FN41"/>
    <mergeCell ref="FO38:FO41"/>
    <mergeCell ref="DK38:DK41"/>
    <mergeCell ref="CU38:CU41"/>
    <mergeCell ref="CV38:CV41"/>
    <mergeCell ref="DB38:DB41"/>
    <mergeCell ref="EL38:EL41"/>
    <mergeCell ref="DO38:DO41"/>
    <mergeCell ref="DP38:DP41"/>
    <mergeCell ref="DQ38:DQ41"/>
    <mergeCell ref="DR38:DR41"/>
    <mergeCell ref="DS38:DS41"/>
    <mergeCell ref="ED38:ED41"/>
    <mergeCell ref="EE38:EE41"/>
    <mergeCell ref="EG38:EG41"/>
    <mergeCell ref="EH38:EH41"/>
    <mergeCell ref="DL38:DL41"/>
    <mergeCell ref="DM38:DM41"/>
    <mergeCell ref="DN38:DN41"/>
    <mergeCell ref="EB38:EB41"/>
    <mergeCell ref="EC38:EC41"/>
    <mergeCell ref="EK38:EK41"/>
    <mergeCell ref="DW38:DW41"/>
    <mergeCell ref="DC38:DC41"/>
    <mergeCell ref="DD38:DD41"/>
    <mergeCell ref="DE38:DE41"/>
    <mergeCell ref="CW38:CW41"/>
    <mergeCell ref="CX38:CX41"/>
    <mergeCell ref="CY38:CY41"/>
    <mergeCell ref="CZ38:CZ41"/>
    <mergeCell ref="DA38:DA41"/>
    <mergeCell ref="DG38:DG41"/>
    <mergeCell ref="DH38:DH41"/>
    <mergeCell ref="DI38:DI41"/>
    <mergeCell ref="DJ38:DJ41"/>
    <mergeCell ref="DF38:DF41"/>
    <mergeCell ref="CQ38:CQ41"/>
    <mergeCell ref="CR38:CR41"/>
    <mergeCell ref="CT38:CT41"/>
    <mergeCell ref="BF38:BF41"/>
    <mergeCell ref="BG38:BG41"/>
    <mergeCell ref="CD38:CD41"/>
    <mergeCell ref="CE38:CE41"/>
    <mergeCell ref="CF38:CF41"/>
    <mergeCell ref="CG38:CG41"/>
    <mergeCell ref="CH38:CH41"/>
    <mergeCell ref="CM38:CM41"/>
    <mergeCell ref="CN38:CN41"/>
    <mergeCell ref="CK38:CK41"/>
    <mergeCell ref="CO38:CO41"/>
    <mergeCell ref="CP38:CP41"/>
    <mergeCell ref="CL38:CL41"/>
    <mergeCell ref="CS38:CS41"/>
    <mergeCell ref="CI38:CI41"/>
    <mergeCell ref="CJ38:CJ41"/>
    <mergeCell ref="BY38:BY41"/>
    <mergeCell ref="BZ38:BZ41"/>
    <mergeCell ref="BH38:BH41"/>
    <mergeCell ref="BI38:BI41"/>
    <mergeCell ref="BK38:BK41"/>
    <mergeCell ref="BN38:BN41"/>
    <mergeCell ref="BO38:BO41"/>
    <mergeCell ref="BP38:BP41"/>
    <mergeCell ref="CC38:CC41"/>
    <mergeCell ref="BA38:BA41"/>
    <mergeCell ref="BB38:BB41"/>
    <mergeCell ref="BC38:BC41"/>
    <mergeCell ref="BD38:BD41"/>
    <mergeCell ref="BE38:BE41"/>
    <mergeCell ref="CB38:CB41"/>
    <mergeCell ref="BL38:BL41"/>
    <mergeCell ref="AL38:AL41"/>
    <mergeCell ref="AO38:AO41"/>
    <mergeCell ref="AP38:AP41"/>
    <mergeCell ref="AQ38:AQ41"/>
    <mergeCell ref="AT38:AT41"/>
    <mergeCell ref="AM38:AM41"/>
    <mergeCell ref="AN38:AN41"/>
    <mergeCell ref="AR38:AR41"/>
    <mergeCell ref="AS38:AS41"/>
    <mergeCell ref="BQ38:BQ41"/>
    <mergeCell ref="BJ38:BJ41"/>
    <mergeCell ref="BM38:BM41"/>
    <mergeCell ref="BV38:BV41"/>
    <mergeCell ref="BW38:BW41"/>
    <mergeCell ref="BX38:BX41"/>
    <mergeCell ref="A38:A41"/>
    <mergeCell ref="O38:O41"/>
    <mergeCell ref="N38:N41"/>
    <mergeCell ref="AV38:AV41"/>
    <mergeCell ref="AW38:AW41"/>
    <mergeCell ref="AX38:AX41"/>
    <mergeCell ref="AY38:AY41"/>
    <mergeCell ref="AZ38:AZ41"/>
    <mergeCell ref="CA38:CA41"/>
    <mergeCell ref="BR38:BR41"/>
    <mergeCell ref="BS38:BS41"/>
    <mergeCell ref="BT38:BT41"/>
    <mergeCell ref="BU38:BU41"/>
    <mergeCell ref="AK38:AK41"/>
    <mergeCell ref="T38:T41"/>
    <mergeCell ref="U38:U41"/>
    <mergeCell ref="V38:V41"/>
    <mergeCell ref="AG38:AG41"/>
    <mergeCell ref="AH38:AH41"/>
    <mergeCell ref="P38:P41"/>
    <mergeCell ref="Q38:Q41"/>
    <mergeCell ref="B38:B41"/>
    <mergeCell ref="C38:C41"/>
    <mergeCell ref="D38:D41"/>
    <mergeCell ref="E38:E41"/>
    <mergeCell ref="F38:F41"/>
    <mergeCell ref="K38:K41"/>
    <mergeCell ref="L38:L41"/>
    <mergeCell ref="M38:M41"/>
    <mergeCell ref="G38:G41"/>
    <mergeCell ref="H38:H41"/>
    <mergeCell ref="I38:I41"/>
    <mergeCell ref="J38:J41"/>
    <mergeCell ref="AJ38:AJ41"/>
    <mergeCell ref="AC2:AD2"/>
    <mergeCell ref="AC3:AD3"/>
    <mergeCell ref="BG2:BH2"/>
    <mergeCell ref="BG3:BH3"/>
    <mergeCell ref="H2:Y2"/>
    <mergeCell ref="H3:Y3"/>
    <mergeCell ref="H4:Y4"/>
    <mergeCell ref="AA7:AD7"/>
    <mergeCell ref="AA8:AD8"/>
    <mergeCell ref="AI38:AI41"/>
    <mergeCell ref="AF38:AF41"/>
    <mergeCell ref="W38:W41"/>
    <mergeCell ref="X38:X41"/>
    <mergeCell ref="Y38:Y41"/>
    <mergeCell ref="Z38:Z41"/>
    <mergeCell ref="AC38:AC41"/>
    <mergeCell ref="AD38:AD41"/>
    <mergeCell ref="AE38:AE41"/>
    <mergeCell ref="AU38:AU41"/>
    <mergeCell ref="AA38:AA41"/>
    <mergeCell ref="AB38:AB41"/>
    <mergeCell ref="R38:R41"/>
    <mergeCell ref="S38:S41"/>
    <mergeCell ref="FU8:FX8"/>
    <mergeCell ref="FU7:FX7"/>
    <mergeCell ref="FW2:FX2"/>
    <mergeCell ref="FW3:FX3"/>
    <mergeCell ref="FB2:FS2"/>
    <mergeCell ref="FB3:FS3"/>
    <mergeCell ref="FB4:FS4"/>
    <mergeCell ref="AL2:BC2"/>
    <mergeCell ref="AL3:BC3"/>
    <mergeCell ref="AL4:BC4"/>
    <mergeCell ref="BE7:BH7"/>
    <mergeCell ref="BE8:BH8"/>
    <mergeCell ref="EQ7:ET7"/>
    <mergeCell ref="EQ8:ET8"/>
    <mergeCell ref="BP2:CG2"/>
    <mergeCell ref="BP3:CG3"/>
    <mergeCell ref="BP4:CG4"/>
    <mergeCell ref="CK2:CL2"/>
    <mergeCell ref="CK3:CL3"/>
    <mergeCell ref="DO2:DP2"/>
    <mergeCell ref="DO3:DP3"/>
    <mergeCell ref="CT2:DK2"/>
    <mergeCell ref="CT3:DK3"/>
    <mergeCell ref="CT4:DK4"/>
    <mergeCell ref="DX2:EO2"/>
    <mergeCell ref="DX3:EO3"/>
    <mergeCell ref="DX4:EO4"/>
  </mergeCells>
  <pageMargins left="0.25" right="0.25" top="0.25" bottom="0.25" header="0.3" footer="0.3"/>
  <pageSetup paperSize="5" scale="36" orientation="landscape" r:id="rId1"/>
  <colBreaks count="7" manualBreakCount="7">
    <brk id="31" max="41" man="1"/>
    <brk id="61" max="41" man="1"/>
    <brk id="91" max="41" man="1"/>
    <brk id="121" max="41" man="1"/>
    <brk id="151" max="41" man="1"/>
    <brk id="181" max="41" man="1"/>
    <brk id="191" max="4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7B5F-831F-48C9-BE9D-2EF3000C762A}">
  <dimension ref="A1:CY237"/>
  <sheetViews>
    <sheetView tabSelected="1" zoomScale="115" zoomScaleNormal="115" workbookViewId="0">
      <selection activeCell="E232" sqref="E232"/>
    </sheetView>
  </sheetViews>
  <sheetFormatPr defaultRowHeight="18" x14ac:dyDescent="0.25"/>
  <cols>
    <col min="1" max="1" width="9.140625" style="118" customWidth="1"/>
    <col min="2" max="12" width="15.7109375" style="118" customWidth="1"/>
    <col min="13" max="13" width="25.5703125" style="118" customWidth="1"/>
    <col min="14" max="14" width="9.140625" style="118" customWidth="1"/>
    <col min="15" max="16384" width="9.140625" style="118"/>
  </cols>
  <sheetData>
    <row r="1" spans="2:13" ht="21" customHeight="1" x14ac:dyDescent="0.25"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2:13" ht="26.25" customHeight="1" x14ac:dyDescent="0.25">
      <c r="C2" s="178"/>
      <c r="D2" s="178"/>
      <c r="E2" s="180" t="s">
        <v>0</v>
      </c>
      <c r="F2" s="119"/>
      <c r="G2" s="119"/>
      <c r="H2" s="119"/>
      <c r="I2" s="119"/>
      <c r="J2" s="119"/>
      <c r="K2" s="119"/>
      <c r="L2" s="178"/>
      <c r="M2" s="178"/>
    </row>
    <row r="3" spans="2:13" ht="20.25" customHeight="1" x14ac:dyDescent="0.25">
      <c r="C3" s="178"/>
      <c r="D3" s="178"/>
      <c r="E3" s="179" t="s">
        <v>1</v>
      </c>
      <c r="F3" s="119"/>
      <c r="G3" s="119"/>
      <c r="H3" s="119"/>
      <c r="I3" s="119"/>
      <c r="J3" s="119"/>
      <c r="K3" s="119"/>
      <c r="L3" s="178"/>
      <c r="M3" s="178"/>
    </row>
    <row r="4" spans="2:13" ht="20.25" customHeight="1" x14ac:dyDescent="0.25">
      <c r="C4" s="178"/>
      <c r="D4" s="178"/>
      <c r="E4" s="179" t="s">
        <v>909</v>
      </c>
      <c r="F4" s="119"/>
      <c r="G4" s="119"/>
      <c r="H4" s="119"/>
      <c r="I4" s="119"/>
      <c r="J4" s="119"/>
      <c r="K4" s="119"/>
      <c r="L4" s="178"/>
      <c r="M4" s="178"/>
    </row>
    <row r="5" spans="2:13" ht="20.25" customHeight="1" x14ac:dyDescent="0.25">
      <c r="C5" s="178"/>
      <c r="D5" s="178"/>
      <c r="E5" s="124"/>
      <c r="F5" s="124"/>
      <c r="G5" s="124"/>
      <c r="H5" s="124"/>
      <c r="I5" s="124"/>
      <c r="J5" s="124"/>
      <c r="K5" s="124"/>
      <c r="L5" s="124"/>
    </row>
    <row r="6" spans="2:13" x14ac:dyDescent="0.25">
      <c r="C6" s="175" t="s">
        <v>3</v>
      </c>
      <c r="D6" s="119" t="s">
        <v>15</v>
      </c>
      <c r="E6" s="119"/>
      <c r="F6" s="33"/>
      <c r="G6" s="177"/>
      <c r="H6" s="162"/>
      <c r="I6" s="162"/>
      <c r="J6" s="162"/>
      <c r="K6" s="176"/>
      <c r="L6" s="176"/>
      <c r="M6" s="176"/>
    </row>
    <row r="7" spans="2:13" ht="18.75" customHeight="1" thickBot="1" x14ac:dyDescent="0.3">
      <c r="B7" s="175"/>
      <c r="D7" s="174" t="s">
        <v>908</v>
      </c>
      <c r="E7" s="173"/>
      <c r="F7" s="173"/>
      <c r="G7" s="173"/>
      <c r="H7" s="173"/>
      <c r="I7" s="173"/>
      <c r="J7" s="173"/>
      <c r="K7" s="173"/>
      <c r="L7" s="172"/>
      <c r="M7" s="163"/>
    </row>
    <row r="8" spans="2:13" ht="18.75" customHeight="1" thickBot="1" x14ac:dyDescent="0.3">
      <c r="B8" s="157" t="s">
        <v>907</v>
      </c>
      <c r="C8" s="85"/>
      <c r="D8" s="61"/>
      <c r="E8" s="168">
        <v>14736.73</v>
      </c>
      <c r="F8" s="168" t="s">
        <v>20</v>
      </c>
      <c r="G8" s="166" t="s">
        <v>904</v>
      </c>
      <c r="H8" s="157" t="s">
        <v>906</v>
      </c>
      <c r="I8" s="85"/>
      <c r="J8" s="61"/>
      <c r="K8" s="171">
        <v>357.75556990000001</v>
      </c>
      <c r="L8" s="85"/>
      <c r="M8" s="166" t="s">
        <v>900</v>
      </c>
    </row>
    <row r="9" spans="2:13" ht="18.75" customHeight="1" thickBot="1" x14ac:dyDescent="0.3">
      <c r="B9" s="157" t="s">
        <v>905</v>
      </c>
      <c r="C9" s="85"/>
      <c r="D9" s="61"/>
      <c r="E9" s="168">
        <v>14952.73</v>
      </c>
      <c r="F9" s="168" t="s">
        <v>20</v>
      </c>
      <c r="G9" s="166" t="s">
        <v>904</v>
      </c>
      <c r="H9" s="157" t="s">
        <v>903</v>
      </c>
      <c r="I9" s="85"/>
      <c r="J9" s="61"/>
      <c r="K9" s="170">
        <v>4.7990000000000004</v>
      </c>
      <c r="L9" s="85"/>
      <c r="M9" s="166" t="s">
        <v>900</v>
      </c>
    </row>
    <row r="10" spans="2:13" ht="18.75" customHeight="1" thickBot="1" x14ac:dyDescent="0.3">
      <c r="B10" s="157" t="s">
        <v>902</v>
      </c>
      <c r="C10" s="85"/>
      <c r="D10" s="61"/>
      <c r="E10" s="168">
        <v>15044.5</v>
      </c>
      <c r="F10" s="168" t="s">
        <v>20</v>
      </c>
      <c r="G10" s="166" t="s">
        <v>898</v>
      </c>
      <c r="H10" s="157" t="s">
        <v>901</v>
      </c>
      <c r="I10" s="85"/>
      <c r="J10" s="61"/>
      <c r="K10" s="170">
        <v>362.55456989999999</v>
      </c>
      <c r="L10" s="85"/>
      <c r="M10" s="166" t="s">
        <v>900</v>
      </c>
    </row>
    <row r="11" spans="2:13" ht="18.75" customHeight="1" thickBot="1" x14ac:dyDescent="0.3">
      <c r="B11" s="157" t="s">
        <v>899</v>
      </c>
      <c r="C11" s="85"/>
      <c r="D11" s="61"/>
      <c r="E11" s="168">
        <v>15044.5</v>
      </c>
      <c r="F11" s="168" t="s">
        <v>20</v>
      </c>
      <c r="G11" s="166" t="s">
        <v>898</v>
      </c>
      <c r="H11" s="157" t="s">
        <v>897</v>
      </c>
      <c r="I11" s="85"/>
      <c r="J11" s="61"/>
      <c r="K11" s="169">
        <v>38</v>
      </c>
      <c r="L11" s="85"/>
      <c r="M11" s="166" t="s">
        <v>896</v>
      </c>
    </row>
    <row r="12" spans="2:13" ht="18.75" customHeight="1" thickBot="1" x14ac:dyDescent="0.3">
      <c r="B12" s="157" t="s">
        <v>895</v>
      </c>
      <c r="C12" s="85"/>
      <c r="D12" s="61"/>
      <c r="E12" s="168">
        <v>13596.17</v>
      </c>
      <c r="F12" s="168" t="s">
        <v>20</v>
      </c>
      <c r="G12" s="166" t="s">
        <v>894</v>
      </c>
      <c r="H12" s="157" t="s">
        <v>893</v>
      </c>
      <c r="I12" s="85"/>
      <c r="J12" s="61"/>
      <c r="K12" s="169">
        <v>988.58</v>
      </c>
      <c r="L12" s="85"/>
      <c r="M12" s="166" t="s">
        <v>892</v>
      </c>
    </row>
    <row r="13" spans="2:13" ht="18.75" customHeight="1" thickBot="1" x14ac:dyDescent="0.3">
      <c r="B13" s="157" t="s">
        <v>891</v>
      </c>
      <c r="C13" s="85"/>
      <c r="D13" s="61"/>
      <c r="E13" s="168">
        <v>16364.16</v>
      </c>
      <c r="F13" s="168" t="s">
        <v>20</v>
      </c>
      <c r="G13" s="166" t="s">
        <v>890</v>
      </c>
      <c r="H13" s="157" t="s">
        <v>889</v>
      </c>
      <c r="I13" s="85"/>
      <c r="J13" s="61"/>
      <c r="K13" s="167">
        <v>7.2483824640137353</v>
      </c>
      <c r="L13" s="85"/>
      <c r="M13" s="166" t="s">
        <v>875</v>
      </c>
    </row>
    <row r="14" spans="2:13" x14ac:dyDescent="0.25">
      <c r="B14" s="162"/>
      <c r="C14" s="162"/>
      <c r="D14" s="162"/>
      <c r="E14" s="162"/>
      <c r="F14" s="165"/>
      <c r="G14" s="162"/>
      <c r="H14" s="164"/>
      <c r="I14" s="163"/>
      <c r="J14" s="162"/>
    </row>
    <row r="15" spans="2:13" ht="18.75" customHeight="1" thickBot="1" x14ac:dyDescent="0.3">
      <c r="B15" s="162"/>
      <c r="C15" s="162"/>
      <c r="D15" s="76" t="s">
        <v>888</v>
      </c>
      <c r="E15" s="119"/>
      <c r="F15" s="119"/>
      <c r="G15" s="119"/>
      <c r="H15" s="119"/>
      <c r="I15" s="119"/>
      <c r="J15" s="119"/>
      <c r="K15" s="119"/>
    </row>
    <row r="16" spans="2:13" ht="18.75" customHeight="1" thickBot="1" x14ac:dyDescent="0.3">
      <c r="B16" s="161"/>
      <c r="C16" s="85"/>
      <c r="D16" s="61"/>
      <c r="E16" s="159" t="s">
        <v>23</v>
      </c>
      <c r="F16" s="159" t="s">
        <v>209</v>
      </c>
      <c r="G16" s="159" t="s">
        <v>62</v>
      </c>
      <c r="H16" s="159" t="s">
        <v>354</v>
      </c>
      <c r="I16" s="160" t="s">
        <v>161</v>
      </c>
      <c r="J16" s="159" t="s">
        <v>134</v>
      </c>
      <c r="K16" s="159" t="s">
        <v>263</v>
      </c>
      <c r="L16" s="136" t="s">
        <v>213</v>
      </c>
      <c r="M16" s="158" t="s">
        <v>516</v>
      </c>
    </row>
    <row r="17" spans="2:103" ht="18.75" customHeight="1" thickBot="1" x14ac:dyDescent="0.3">
      <c r="B17" s="157" t="s">
        <v>887</v>
      </c>
      <c r="C17" s="85"/>
      <c r="D17" s="61"/>
      <c r="E17" s="155">
        <v>43.790092549999997</v>
      </c>
      <c r="F17" s="155">
        <v>0</v>
      </c>
      <c r="G17" s="155">
        <v>16.707159999999998</v>
      </c>
      <c r="H17" s="155">
        <v>0</v>
      </c>
      <c r="I17" s="155">
        <v>0</v>
      </c>
      <c r="J17" s="155">
        <v>0.21456500000000001</v>
      </c>
      <c r="K17" s="155">
        <v>0</v>
      </c>
      <c r="L17" s="155">
        <v>0</v>
      </c>
      <c r="M17" s="155">
        <v>60.711817549999999</v>
      </c>
      <c r="CV17" s="31" t="s">
        <v>23</v>
      </c>
      <c r="CW17" s="31">
        <v>132.49489854999999</v>
      </c>
      <c r="CX17" s="31" t="s">
        <v>23</v>
      </c>
      <c r="CY17" s="31">
        <v>473114239.3635</v>
      </c>
    </row>
    <row r="18" spans="2:103" ht="18.75" customHeight="1" thickBot="1" x14ac:dyDescent="0.3">
      <c r="B18" s="157" t="s">
        <v>886</v>
      </c>
      <c r="C18" s="85"/>
      <c r="D18" s="61"/>
      <c r="E18" s="155">
        <v>3.7275849999999999</v>
      </c>
      <c r="F18" s="155">
        <v>40.098179360000003</v>
      </c>
      <c r="G18" s="155">
        <v>11.6330594</v>
      </c>
      <c r="H18" s="155">
        <v>0</v>
      </c>
      <c r="I18" s="155">
        <v>0.94650000000000001</v>
      </c>
      <c r="J18" s="155">
        <v>0.15612100000000001</v>
      </c>
      <c r="K18" s="155">
        <v>0</v>
      </c>
      <c r="L18" s="155">
        <v>5.3280000000000001E-2</v>
      </c>
      <c r="M18" s="155">
        <v>56.614724760000001</v>
      </c>
      <c r="CV18" s="31" t="s">
        <v>209</v>
      </c>
      <c r="CW18" s="31">
        <v>110.23162609000001</v>
      </c>
      <c r="CX18" s="31" t="s">
        <v>209</v>
      </c>
      <c r="CY18" s="31">
        <v>730829057.71650004</v>
      </c>
    </row>
    <row r="19" spans="2:103" ht="18.75" customHeight="1" thickBot="1" x14ac:dyDescent="0.3">
      <c r="B19" s="157" t="s">
        <v>885</v>
      </c>
      <c r="C19" s="85"/>
      <c r="D19" s="61"/>
      <c r="E19" s="155">
        <v>24.404350000000001</v>
      </c>
      <c r="F19" s="155">
        <v>0</v>
      </c>
      <c r="G19" s="155">
        <v>12.260239</v>
      </c>
      <c r="H19" s="155">
        <v>0</v>
      </c>
      <c r="I19" s="155">
        <v>0</v>
      </c>
      <c r="J19" s="155">
        <v>0.49784499999999998</v>
      </c>
      <c r="K19" s="155">
        <v>0.99839999999999995</v>
      </c>
      <c r="L19" s="155">
        <v>0</v>
      </c>
      <c r="M19" s="155">
        <v>38.160834000000001</v>
      </c>
      <c r="CV19" s="31" t="s">
        <v>62</v>
      </c>
      <c r="CW19" s="31">
        <v>53.128855399999999</v>
      </c>
      <c r="CX19" s="31" t="s">
        <v>62</v>
      </c>
      <c r="CY19" s="31">
        <v>999317760.43799996</v>
      </c>
    </row>
    <row r="20" spans="2:103" ht="18.75" customHeight="1" thickBot="1" x14ac:dyDescent="0.3">
      <c r="B20" s="157" t="s">
        <v>884</v>
      </c>
      <c r="C20" s="85"/>
      <c r="D20" s="61"/>
      <c r="E20" s="155">
        <v>0.32063999999999998</v>
      </c>
      <c r="F20" s="155">
        <v>0</v>
      </c>
      <c r="G20" s="155">
        <v>4.4470799999999997</v>
      </c>
      <c r="H20" s="155">
        <v>0</v>
      </c>
      <c r="I20" s="155">
        <v>0</v>
      </c>
      <c r="J20" s="155">
        <v>0.28625</v>
      </c>
      <c r="K20" s="155">
        <v>0</v>
      </c>
      <c r="L20" s="155">
        <v>0</v>
      </c>
      <c r="M20" s="155">
        <v>5.0539699999999996</v>
      </c>
      <c r="CV20" s="31" t="s">
        <v>354</v>
      </c>
      <c r="CW20" s="31">
        <v>0</v>
      </c>
      <c r="CX20" s="31" t="s">
        <v>354</v>
      </c>
      <c r="CY20" s="31">
        <v>0</v>
      </c>
    </row>
    <row r="21" spans="2:103" ht="18.75" customHeight="1" thickBot="1" x14ac:dyDescent="0.3">
      <c r="B21" s="157" t="s">
        <v>883</v>
      </c>
      <c r="C21" s="85"/>
      <c r="D21" s="61"/>
      <c r="E21" s="155">
        <v>28.424067999999998</v>
      </c>
      <c r="F21" s="155">
        <v>0</v>
      </c>
      <c r="G21" s="155">
        <v>0</v>
      </c>
      <c r="H21" s="155">
        <v>0</v>
      </c>
      <c r="I21" s="155">
        <v>0</v>
      </c>
      <c r="J21" s="155">
        <v>0</v>
      </c>
      <c r="K21" s="155">
        <v>0</v>
      </c>
      <c r="L21" s="155">
        <v>0</v>
      </c>
      <c r="M21" s="155">
        <v>28.424067999999998</v>
      </c>
      <c r="CV21" s="31" t="s">
        <v>161</v>
      </c>
      <c r="CW21" s="31">
        <v>0.94650000000000001</v>
      </c>
      <c r="CX21" s="31" t="s">
        <v>161</v>
      </c>
      <c r="CY21" s="31">
        <v>94650</v>
      </c>
    </row>
    <row r="22" spans="2:103" ht="18.75" customHeight="1" thickBot="1" x14ac:dyDescent="0.3">
      <c r="B22" s="157" t="s">
        <v>882</v>
      </c>
      <c r="C22" s="85"/>
      <c r="D22" s="61"/>
      <c r="E22" s="155">
        <v>5.6151359999999997</v>
      </c>
      <c r="F22" s="155">
        <v>22.720003999999999</v>
      </c>
      <c r="G22" s="155">
        <v>0.445216</v>
      </c>
      <c r="H22" s="155">
        <v>0</v>
      </c>
      <c r="I22" s="155">
        <v>0</v>
      </c>
      <c r="J22" s="155">
        <v>0.71279999999999999</v>
      </c>
      <c r="K22" s="155">
        <v>22.062545</v>
      </c>
      <c r="L22" s="155">
        <v>0</v>
      </c>
      <c r="M22" s="155">
        <v>51.555700999999999</v>
      </c>
      <c r="CV22" s="31" t="s">
        <v>134</v>
      </c>
      <c r="CW22" s="31">
        <v>4.6710108000000004</v>
      </c>
      <c r="CX22" s="31" t="s">
        <v>134</v>
      </c>
      <c r="CY22" s="31">
        <v>75861439.898000002</v>
      </c>
    </row>
    <row r="23" spans="2:103" ht="18.75" customHeight="1" thickBot="1" x14ac:dyDescent="0.3">
      <c r="B23" s="157" t="s">
        <v>881</v>
      </c>
      <c r="C23" s="85"/>
      <c r="D23" s="61"/>
      <c r="E23" s="155">
        <v>8.0585730000000009</v>
      </c>
      <c r="F23" s="155">
        <v>42.177224729999999</v>
      </c>
      <c r="G23" s="155">
        <v>1.0005599999999999</v>
      </c>
      <c r="H23" s="155">
        <v>0</v>
      </c>
      <c r="I23" s="155">
        <v>0</v>
      </c>
      <c r="J23" s="155">
        <v>5.0130000000000001E-3</v>
      </c>
      <c r="K23" s="155">
        <v>0</v>
      </c>
      <c r="L23" s="155">
        <v>0</v>
      </c>
      <c r="M23" s="155">
        <v>51.24137073</v>
      </c>
      <c r="CV23" s="31" t="s">
        <v>263</v>
      </c>
      <c r="CW23" s="31">
        <v>56.229399059999999</v>
      </c>
      <c r="CX23" s="31" t="s">
        <v>263</v>
      </c>
      <c r="CY23" s="31">
        <v>313152032.65039998</v>
      </c>
    </row>
    <row r="24" spans="2:103" ht="18.75" customHeight="1" thickBot="1" x14ac:dyDescent="0.3">
      <c r="B24" s="157" t="s">
        <v>880</v>
      </c>
      <c r="C24" s="85"/>
      <c r="D24" s="61"/>
      <c r="E24" s="155">
        <v>18.154454000000001</v>
      </c>
      <c r="F24" s="155">
        <v>0</v>
      </c>
      <c r="G24" s="155">
        <v>3.098382</v>
      </c>
      <c r="H24" s="155">
        <v>0</v>
      </c>
      <c r="I24" s="155">
        <v>0</v>
      </c>
      <c r="J24" s="155">
        <v>1.167986</v>
      </c>
      <c r="K24" s="155">
        <v>33.168454060000002</v>
      </c>
      <c r="L24" s="155">
        <v>0</v>
      </c>
      <c r="M24" s="155">
        <v>55.589276060000003</v>
      </c>
      <c r="CV24" s="31" t="s">
        <v>213</v>
      </c>
      <c r="CW24" s="31">
        <v>5.3280000000000001E-2</v>
      </c>
      <c r="CX24" s="31" t="s">
        <v>213</v>
      </c>
      <c r="CY24" s="31">
        <v>780019.19999999995</v>
      </c>
    </row>
    <row r="25" spans="2:103" ht="18.75" customHeight="1" thickBot="1" x14ac:dyDescent="0.3">
      <c r="B25" s="157" t="s">
        <v>879</v>
      </c>
      <c r="C25" s="85"/>
      <c r="D25" s="61"/>
      <c r="E25" s="155">
        <v>0</v>
      </c>
      <c r="F25" s="155">
        <v>5.236218</v>
      </c>
      <c r="G25" s="155">
        <v>3.5371589999999999</v>
      </c>
      <c r="H25" s="155">
        <v>0</v>
      </c>
      <c r="I25" s="155">
        <v>0</v>
      </c>
      <c r="J25" s="155">
        <v>1.6304308000000001</v>
      </c>
      <c r="K25" s="155">
        <v>0</v>
      </c>
      <c r="L25" s="155">
        <v>0</v>
      </c>
      <c r="M25" s="155">
        <v>10.403807799999999</v>
      </c>
    </row>
    <row r="26" spans="2:103" ht="18.75" customHeight="1" thickBot="1" x14ac:dyDescent="0.3">
      <c r="B26" s="156" t="s">
        <v>516</v>
      </c>
      <c r="C26" s="85"/>
      <c r="D26" s="61"/>
      <c r="E26" s="155">
        <v>132.49489854999999</v>
      </c>
      <c r="F26" s="155">
        <v>110.23162609000001</v>
      </c>
      <c r="G26" s="155">
        <v>53.128855399999999</v>
      </c>
      <c r="H26" s="155">
        <v>0</v>
      </c>
      <c r="I26" s="155">
        <v>0.94650000000000001</v>
      </c>
      <c r="J26" s="155">
        <v>4.6710108000000004</v>
      </c>
      <c r="K26" s="155">
        <v>56.229399059999999</v>
      </c>
      <c r="L26" s="155">
        <v>5.3280000000000001E-2</v>
      </c>
      <c r="M26" s="155">
        <v>357.75556990000001</v>
      </c>
    </row>
    <row r="44" spans="5:10" ht="18.75" customHeight="1" thickBot="1" x14ac:dyDescent="0.3">
      <c r="E44" s="76" t="s">
        <v>878</v>
      </c>
      <c r="F44" s="119"/>
      <c r="G44" s="119"/>
      <c r="H44" s="119"/>
      <c r="I44" s="119"/>
      <c r="J44" s="119"/>
    </row>
    <row r="45" spans="5:10" ht="18.75" customHeight="1" thickBot="1" x14ac:dyDescent="0.3">
      <c r="E45" s="154" t="s">
        <v>7</v>
      </c>
      <c r="F45" s="153" t="s">
        <v>875</v>
      </c>
      <c r="G45" s="61"/>
      <c r="H45" s="154" t="s">
        <v>7</v>
      </c>
      <c r="I45" s="153" t="s">
        <v>875</v>
      </c>
      <c r="J45" s="61"/>
    </row>
    <row r="46" spans="5:10" ht="18.75" customHeight="1" thickBot="1" x14ac:dyDescent="0.3">
      <c r="E46" s="152" t="s">
        <v>23</v>
      </c>
      <c r="F46" s="137">
        <v>473114239.3635</v>
      </c>
      <c r="G46" s="61"/>
      <c r="H46" s="152" t="s">
        <v>161</v>
      </c>
      <c r="I46" s="137">
        <v>94650</v>
      </c>
      <c r="J46" s="61"/>
    </row>
    <row r="47" spans="5:10" ht="18.75" customHeight="1" thickBot="1" x14ac:dyDescent="0.3">
      <c r="E47" s="152" t="s">
        <v>209</v>
      </c>
      <c r="F47" s="137">
        <v>730829057.71650004</v>
      </c>
      <c r="G47" s="61"/>
      <c r="H47" s="152" t="s">
        <v>134</v>
      </c>
      <c r="I47" s="137">
        <v>75861439.898000002</v>
      </c>
      <c r="J47" s="61"/>
    </row>
    <row r="48" spans="5:10" ht="18.75" customHeight="1" thickBot="1" x14ac:dyDescent="0.3">
      <c r="E48" s="152" t="s">
        <v>62</v>
      </c>
      <c r="F48" s="137">
        <v>999317760.43799996</v>
      </c>
      <c r="G48" s="61"/>
      <c r="H48" s="152" t="s">
        <v>263</v>
      </c>
      <c r="I48" s="137">
        <v>313152032.65039998</v>
      </c>
      <c r="J48" s="61"/>
    </row>
    <row r="49" spans="1:13" ht="18.75" customHeight="1" thickBot="1" x14ac:dyDescent="0.3">
      <c r="E49" s="152" t="s">
        <v>354</v>
      </c>
      <c r="F49" s="137">
        <v>0</v>
      </c>
      <c r="G49" s="61"/>
      <c r="H49" s="152" t="s">
        <v>213</v>
      </c>
      <c r="I49" s="137">
        <v>780019.19999999995</v>
      </c>
      <c r="J49" s="61"/>
    </row>
    <row r="50" spans="1:13" x14ac:dyDescent="0.25">
      <c r="F50" s="148" t="s">
        <v>877</v>
      </c>
      <c r="G50" s="151" t="s">
        <v>876</v>
      </c>
      <c r="H50" s="150"/>
      <c r="I50" s="149" t="s">
        <v>875</v>
      </c>
    </row>
    <row r="51" spans="1:13" ht="18.75" customHeight="1" thickBot="1" x14ac:dyDescent="0.3">
      <c r="F51" s="148"/>
    </row>
    <row r="52" spans="1:13" ht="24.95" customHeight="1" thickBot="1" x14ac:dyDescent="0.3">
      <c r="A52" s="147" t="s">
        <v>874</v>
      </c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61"/>
    </row>
    <row r="53" spans="1:13" ht="24.95" customHeight="1" thickBot="1" x14ac:dyDescent="0.3">
      <c r="A53" s="146" t="s">
        <v>873</v>
      </c>
      <c r="B53" s="85"/>
      <c r="C53" s="61"/>
      <c r="D53" s="145" t="s">
        <v>869</v>
      </c>
      <c r="E53" s="144">
        <v>0</v>
      </c>
      <c r="F53" s="61"/>
      <c r="G53" s="143" t="s">
        <v>872</v>
      </c>
      <c r="H53" s="85"/>
      <c r="I53" s="61"/>
      <c r="J53" s="142" t="s">
        <v>860</v>
      </c>
      <c r="K53" s="142">
        <v>22.062545</v>
      </c>
      <c r="L53" s="141" t="s">
        <v>859</v>
      </c>
      <c r="M53" s="140" t="s">
        <v>871</v>
      </c>
    </row>
    <row r="54" spans="1:13" ht="24.95" customHeight="1" thickBot="1" x14ac:dyDescent="0.3">
      <c r="A54" s="146" t="s">
        <v>870</v>
      </c>
      <c r="B54" s="85"/>
      <c r="C54" s="61"/>
      <c r="D54" s="145" t="s">
        <v>869</v>
      </c>
      <c r="E54" s="144">
        <v>44559400.079999998</v>
      </c>
      <c r="F54" s="61"/>
      <c r="G54" s="143" t="s">
        <v>868</v>
      </c>
      <c r="H54" s="85"/>
      <c r="I54" s="61"/>
      <c r="J54" s="142" t="s">
        <v>860</v>
      </c>
      <c r="K54" s="142">
        <v>33.168454060000002</v>
      </c>
      <c r="L54" s="141" t="s">
        <v>859</v>
      </c>
      <c r="M54" s="140" t="s">
        <v>867</v>
      </c>
    </row>
    <row r="55" spans="1:13" ht="24.95" customHeight="1" thickBot="1" x14ac:dyDescent="0.3">
      <c r="A55" s="146" t="s">
        <v>866</v>
      </c>
      <c r="B55" s="85"/>
      <c r="C55" s="61"/>
      <c r="D55" s="145" t="s">
        <v>862</v>
      </c>
      <c r="E55" s="144">
        <v>798</v>
      </c>
      <c r="F55" s="61"/>
      <c r="G55" s="143" t="s">
        <v>865</v>
      </c>
      <c r="H55" s="85"/>
      <c r="I55" s="61"/>
      <c r="J55" s="142" t="s">
        <v>860</v>
      </c>
      <c r="K55" s="142">
        <v>0.99839999999999995</v>
      </c>
      <c r="L55" s="141" t="s">
        <v>859</v>
      </c>
      <c r="M55" s="140" t="s">
        <v>864</v>
      </c>
    </row>
    <row r="56" spans="1:13" ht="24.95" customHeight="1" thickBot="1" x14ac:dyDescent="0.3">
      <c r="A56" s="146" t="s">
        <v>863</v>
      </c>
      <c r="B56" s="85"/>
      <c r="C56" s="61"/>
      <c r="D56" s="145" t="s">
        <v>862</v>
      </c>
      <c r="E56" s="144">
        <v>916</v>
      </c>
      <c r="F56" s="61"/>
      <c r="G56" s="143" t="s">
        <v>861</v>
      </c>
      <c r="H56" s="85"/>
      <c r="I56" s="61"/>
      <c r="J56" s="142" t="s">
        <v>860</v>
      </c>
      <c r="K56" s="142">
        <v>56.229399059999999</v>
      </c>
      <c r="L56" s="141" t="s">
        <v>859</v>
      </c>
      <c r="M56" s="140" t="s">
        <v>858</v>
      </c>
    </row>
    <row r="58" spans="1:13" ht="18.75" thickBot="1" x14ac:dyDescent="0.3">
      <c r="D58" s="127" t="s">
        <v>857</v>
      </c>
      <c r="E58" s="119"/>
      <c r="F58" s="119"/>
      <c r="G58" s="119"/>
      <c r="H58" s="119"/>
      <c r="I58" s="119"/>
      <c r="J58" s="119"/>
      <c r="K58" s="119"/>
    </row>
    <row r="59" spans="1:13" ht="18.75" thickBot="1" x14ac:dyDescent="0.3">
      <c r="E59" s="128" t="s">
        <v>856</v>
      </c>
      <c r="F59" s="98"/>
      <c r="G59" s="128" t="s">
        <v>496</v>
      </c>
      <c r="H59" s="98"/>
      <c r="I59" s="128" t="s">
        <v>497</v>
      </c>
      <c r="J59" s="98"/>
    </row>
    <row r="60" spans="1:13" ht="18.75" thickBot="1" x14ac:dyDescent="0.3">
      <c r="E60" s="125" t="s">
        <v>507</v>
      </c>
      <c r="F60" s="98"/>
      <c r="G60" s="125">
        <v>0</v>
      </c>
      <c r="H60" s="98"/>
      <c r="I60" s="125">
        <v>5341</v>
      </c>
      <c r="J60" s="98"/>
    </row>
    <row r="61" spans="1:13" ht="18.75" thickBot="1" x14ac:dyDescent="0.3">
      <c r="E61" s="125" t="s">
        <v>855</v>
      </c>
      <c r="F61" s="98"/>
      <c r="G61" s="125">
        <v>0</v>
      </c>
      <c r="H61" s="98"/>
      <c r="I61" s="125">
        <v>1542</v>
      </c>
      <c r="J61" s="98"/>
    </row>
    <row r="62" spans="1:13" ht="18.75" thickBot="1" x14ac:dyDescent="0.3">
      <c r="E62" s="125" t="s">
        <v>509</v>
      </c>
      <c r="F62" s="98"/>
      <c r="G62" s="125">
        <v>0</v>
      </c>
      <c r="H62" s="98"/>
      <c r="I62" s="125">
        <v>1385</v>
      </c>
      <c r="J62" s="98"/>
    </row>
    <row r="63" spans="1:13" ht="18.75" thickBot="1" x14ac:dyDescent="0.3">
      <c r="E63" s="125" t="s">
        <v>510</v>
      </c>
      <c r="F63" s="98"/>
      <c r="G63" s="125">
        <v>0</v>
      </c>
      <c r="H63" s="98"/>
      <c r="I63" s="125">
        <v>1075</v>
      </c>
      <c r="J63" s="98"/>
    </row>
    <row r="64" spans="1:13" ht="18.75" thickBot="1" x14ac:dyDescent="0.3">
      <c r="E64" s="125" t="s">
        <v>511</v>
      </c>
      <c r="F64" s="98"/>
      <c r="G64" s="125">
        <v>0</v>
      </c>
      <c r="H64" s="98"/>
      <c r="I64" s="125">
        <v>443</v>
      </c>
      <c r="J64" s="98"/>
    </row>
    <row r="65" spans="3:12" ht="18.75" thickBot="1" x14ac:dyDescent="0.3">
      <c r="E65" s="125" t="s">
        <v>512</v>
      </c>
      <c r="F65" s="98"/>
      <c r="G65" s="125">
        <v>0</v>
      </c>
      <c r="H65" s="98"/>
      <c r="I65" s="125">
        <v>1982</v>
      </c>
      <c r="J65" s="98"/>
    </row>
    <row r="66" spans="3:12" ht="18.75" thickBot="1" x14ac:dyDescent="0.3">
      <c r="E66" s="125" t="s">
        <v>513</v>
      </c>
      <c r="F66" s="98"/>
      <c r="G66" s="125">
        <v>0</v>
      </c>
      <c r="H66" s="98"/>
      <c r="I66" s="125">
        <v>522</v>
      </c>
      <c r="J66" s="98"/>
    </row>
    <row r="67" spans="3:12" ht="18.75" thickBot="1" x14ac:dyDescent="0.3">
      <c r="E67" s="125" t="s">
        <v>514</v>
      </c>
      <c r="F67" s="98"/>
      <c r="G67" s="125">
        <v>0</v>
      </c>
      <c r="H67" s="98"/>
      <c r="I67" s="125">
        <v>1617</v>
      </c>
      <c r="J67" s="98"/>
    </row>
    <row r="68" spans="3:12" ht="18.75" thickBot="1" x14ac:dyDescent="0.3">
      <c r="E68" s="125" t="s">
        <v>515</v>
      </c>
      <c r="F68" s="98"/>
      <c r="G68" s="125">
        <v>0</v>
      </c>
      <c r="H68" s="98"/>
      <c r="I68" s="125">
        <v>709</v>
      </c>
      <c r="J68" s="98"/>
    </row>
    <row r="69" spans="3:12" ht="18.75" thickBot="1" x14ac:dyDescent="0.3">
      <c r="E69" s="128" t="s">
        <v>516</v>
      </c>
      <c r="F69" s="98"/>
      <c r="G69" s="128">
        <v>0</v>
      </c>
      <c r="H69" s="98"/>
      <c r="I69" s="128">
        <v>14616</v>
      </c>
      <c r="J69" s="98"/>
    </row>
    <row r="71" spans="3:12" ht="18.75" customHeight="1" thickBot="1" x14ac:dyDescent="0.3">
      <c r="C71" s="139" t="s">
        <v>854</v>
      </c>
      <c r="D71" s="119"/>
      <c r="E71" s="119"/>
      <c r="F71" s="119"/>
      <c r="G71" s="119"/>
      <c r="H71" s="119"/>
      <c r="I71" s="119"/>
      <c r="J71" s="119"/>
      <c r="K71" s="119"/>
      <c r="L71" s="119"/>
    </row>
    <row r="72" spans="3:12" ht="18.75" customHeight="1" thickBot="1" x14ac:dyDescent="0.3">
      <c r="C72" s="138" t="s">
        <v>853</v>
      </c>
      <c r="D72" s="85"/>
      <c r="E72" s="85"/>
      <c r="F72" s="85"/>
      <c r="G72" s="61"/>
      <c r="H72" s="138" t="s">
        <v>852</v>
      </c>
      <c r="I72" s="85"/>
      <c r="J72" s="85"/>
      <c r="K72" s="85"/>
      <c r="L72" s="61"/>
    </row>
    <row r="73" spans="3:12" ht="18.75" customHeight="1" thickBot="1" x14ac:dyDescent="0.3">
      <c r="C73" s="136" t="s">
        <v>851</v>
      </c>
      <c r="D73" s="137" t="s">
        <v>850</v>
      </c>
      <c r="E73" s="85"/>
      <c r="F73" s="61"/>
      <c r="G73" s="136" t="s">
        <v>849</v>
      </c>
      <c r="H73" s="136" t="s">
        <v>851</v>
      </c>
      <c r="I73" s="137" t="s">
        <v>850</v>
      </c>
      <c r="J73" s="85"/>
      <c r="K73" s="61"/>
      <c r="L73" s="136" t="s">
        <v>849</v>
      </c>
    </row>
    <row r="74" spans="3:12" x14ac:dyDescent="0.25">
      <c r="C74" s="134">
        <v>1</v>
      </c>
      <c r="D74" s="120" t="s">
        <v>422</v>
      </c>
      <c r="E74" s="119"/>
      <c r="F74" s="119"/>
      <c r="G74" s="124">
        <v>100</v>
      </c>
      <c r="H74" s="124">
        <v>1</v>
      </c>
      <c r="I74" s="120" t="s">
        <v>430</v>
      </c>
      <c r="J74" s="119"/>
      <c r="K74" s="119"/>
      <c r="L74" s="135">
        <v>35.090000000000003</v>
      </c>
    </row>
    <row r="75" spans="3:12" x14ac:dyDescent="0.25">
      <c r="C75" s="134">
        <v>2</v>
      </c>
      <c r="D75" s="120" t="s">
        <v>848</v>
      </c>
      <c r="E75" s="119"/>
      <c r="F75" s="119"/>
      <c r="G75" s="124">
        <v>85</v>
      </c>
      <c r="H75" s="124">
        <v>2</v>
      </c>
      <c r="I75" s="120" t="s">
        <v>847</v>
      </c>
      <c r="J75" s="119"/>
      <c r="K75" s="119"/>
      <c r="L75" s="135">
        <v>284</v>
      </c>
    </row>
    <row r="76" spans="3:12" x14ac:dyDescent="0.25">
      <c r="C76" s="134">
        <v>3</v>
      </c>
      <c r="D76" s="120" t="s">
        <v>846</v>
      </c>
      <c r="E76" s="119"/>
      <c r="F76" s="119"/>
      <c r="G76" s="124">
        <v>110</v>
      </c>
      <c r="H76" s="124">
        <v>3</v>
      </c>
      <c r="I76" s="120" t="s">
        <v>845</v>
      </c>
      <c r="J76" s="119"/>
      <c r="K76" s="119"/>
      <c r="L76" s="135">
        <v>116</v>
      </c>
    </row>
    <row r="77" spans="3:12" ht="18.75" thickBot="1" x14ac:dyDescent="0.3">
      <c r="C77" s="134">
        <v>4</v>
      </c>
      <c r="D77" s="120" t="s">
        <v>844</v>
      </c>
      <c r="E77" s="119"/>
      <c r="F77" s="119"/>
      <c r="G77" s="124">
        <v>115</v>
      </c>
      <c r="L77" s="133"/>
    </row>
    <row r="78" spans="3:12" ht="18.75" thickBot="1" x14ac:dyDescent="0.3">
      <c r="C78" s="132"/>
      <c r="D78" s="131"/>
      <c r="E78" s="131"/>
      <c r="F78" s="130" t="s">
        <v>516</v>
      </c>
      <c r="G78" s="130">
        <v>410</v>
      </c>
      <c r="H78" s="131"/>
      <c r="I78" s="131"/>
      <c r="J78" s="131"/>
      <c r="K78" s="130" t="s">
        <v>516</v>
      </c>
      <c r="L78" s="129">
        <v>435.09</v>
      </c>
    </row>
    <row r="79" spans="3:12" ht="18.75" thickBot="1" x14ac:dyDescent="0.3">
      <c r="E79" s="128" t="s">
        <v>843</v>
      </c>
      <c r="F79" s="98"/>
      <c r="G79" s="98"/>
      <c r="H79" s="98"/>
      <c r="I79" s="128">
        <v>845.09</v>
      </c>
      <c r="J79" s="98"/>
    </row>
    <row r="81" spans="2:13" ht="18.75" thickBot="1" x14ac:dyDescent="0.3">
      <c r="F81" s="127" t="s">
        <v>842</v>
      </c>
      <c r="G81" s="119"/>
      <c r="H81" s="119"/>
      <c r="I81" s="119"/>
    </row>
    <row r="82" spans="2:13" ht="36.75" thickBot="1" x14ac:dyDescent="0.3">
      <c r="B82" s="126" t="s">
        <v>841</v>
      </c>
      <c r="C82" s="126" t="s">
        <v>840</v>
      </c>
      <c r="D82" s="125" t="s">
        <v>839</v>
      </c>
      <c r="E82" s="98"/>
      <c r="F82" s="98"/>
      <c r="G82" s="98"/>
      <c r="H82" s="98"/>
      <c r="I82" s="98"/>
      <c r="J82" s="98"/>
      <c r="K82" s="98"/>
      <c r="L82" s="125" t="s">
        <v>839</v>
      </c>
      <c r="M82" s="98"/>
    </row>
    <row r="83" spans="2:13" x14ac:dyDescent="0.25">
      <c r="B83" s="124" t="s">
        <v>838</v>
      </c>
      <c r="C83" s="124" t="s">
        <v>837</v>
      </c>
      <c r="D83" s="122" t="s">
        <v>836</v>
      </c>
      <c r="E83" s="119"/>
      <c r="F83" s="119"/>
      <c r="G83" s="119"/>
      <c r="H83" s="119"/>
      <c r="I83" s="119"/>
      <c r="J83" s="119"/>
      <c r="K83" s="119"/>
      <c r="L83" s="122" t="s">
        <v>734</v>
      </c>
      <c r="M83" s="119"/>
    </row>
    <row r="84" spans="2:13" x14ac:dyDescent="0.25">
      <c r="D84" s="122" t="s">
        <v>835</v>
      </c>
      <c r="E84" s="119"/>
      <c r="F84" s="119"/>
      <c r="G84" s="119"/>
      <c r="H84" s="119"/>
      <c r="I84" s="119"/>
      <c r="J84" s="119"/>
      <c r="K84" s="119"/>
      <c r="L84" s="122" t="s">
        <v>759</v>
      </c>
      <c r="M84" s="119"/>
    </row>
    <row r="86" spans="2:13" x14ac:dyDescent="0.25">
      <c r="C86" s="124" t="s">
        <v>833</v>
      </c>
      <c r="D86" s="122" t="s">
        <v>834</v>
      </c>
      <c r="E86" s="119"/>
      <c r="F86" s="119"/>
      <c r="G86" s="119"/>
      <c r="H86" s="119"/>
      <c r="I86" s="119"/>
      <c r="J86" s="119"/>
      <c r="K86" s="119"/>
      <c r="L86" s="122" t="s">
        <v>545</v>
      </c>
      <c r="M86" s="119"/>
    </row>
    <row r="88" spans="2:13" x14ac:dyDescent="0.25">
      <c r="C88" s="124" t="s">
        <v>833</v>
      </c>
      <c r="D88" s="122" t="s">
        <v>832</v>
      </c>
      <c r="E88" s="119"/>
      <c r="F88" s="119"/>
      <c r="G88" s="119"/>
      <c r="H88" s="119"/>
      <c r="I88" s="119"/>
      <c r="J88" s="119"/>
      <c r="K88" s="119"/>
      <c r="L88" s="122" t="s">
        <v>545</v>
      </c>
      <c r="M88" s="119"/>
    </row>
    <row r="90" spans="2:13" x14ac:dyDescent="0.25">
      <c r="C90" s="124" t="s">
        <v>831</v>
      </c>
      <c r="D90" s="122" t="s">
        <v>830</v>
      </c>
      <c r="E90" s="119"/>
      <c r="F90" s="119"/>
      <c r="G90" s="119"/>
      <c r="H90" s="119"/>
      <c r="I90" s="119"/>
      <c r="J90" s="119"/>
      <c r="K90" s="119"/>
      <c r="L90" s="122" t="s">
        <v>545</v>
      </c>
      <c r="M90" s="119"/>
    </row>
    <row r="92" spans="2:13" x14ac:dyDescent="0.25">
      <c r="B92" s="124" t="s">
        <v>828</v>
      </c>
      <c r="C92" s="124" t="s">
        <v>827</v>
      </c>
      <c r="D92" s="122" t="s">
        <v>829</v>
      </c>
      <c r="E92" s="119"/>
      <c r="F92" s="119"/>
      <c r="G92" s="119"/>
      <c r="H92" s="119"/>
      <c r="I92" s="119"/>
      <c r="J92" s="119"/>
      <c r="K92" s="119"/>
      <c r="L92" s="122" t="s">
        <v>799</v>
      </c>
      <c r="M92" s="119"/>
    </row>
    <row r="93" spans="2:13" x14ac:dyDescent="0.25">
      <c r="L93" s="122" t="s">
        <v>759</v>
      </c>
      <c r="M93" s="119"/>
    </row>
    <row r="95" spans="2:13" x14ac:dyDescent="0.25">
      <c r="B95" s="124" t="s">
        <v>828</v>
      </c>
      <c r="C95" s="124" t="s">
        <v>827</v>
      </c>
      <c r="D95" s="122" t="s">
        <v>826</v>
      </c>
      <c r="E95" s="119"/>
      <c r="F95" s="119"/>
      <c r="G95" s="119"/>
      <c r="H95" s="119"/>
      <c r="I95" s="119"/>
      <c r="J95" s="119"/>
      <c r="K95" s="119"/>
      <c r="L95" s="122" t="s">
        <v>799</v>
      </c>
      <c r="M95" s="119"/>
    </row>
    <row r="96" spans="2:13" x14ac:dyDescent="0.25">
      <c r="L96" s="122" t="s">
        <v>759</v>
      </c>
      <c r="M96" s="119"/>
    </row>
    <row r="98" spans="2:13" x14ac:dyDescent="0.25">
      <c r="B98" s="124" t="s">
        <v>825</v>
      </c>
      <c r="C98" s="124" t="s">
        <v>824</v>
      </c>
      <c r="D98" s="122" t="s">
        <v>823</v>
      </c>
      <c r="E98" s="119"/>
      <c r="F98" s="119"/>
      <c r="G98" s="119"/>
      <c r="H98" s="119"/>
      <c r="I98" s="119"/>
      <c r="J98" s="119"/>
      <c r="K98" s="119"/>
      <c r="L98" s="122" t="s">
        <v>545</v>
      </c>
      <c r="M98" s="119"/>
    </row>
    <row r="99" spans="2:13" x14ac:dyDescent="0.25">
      <c r="D99" s="122" t="s">
        <v>819</v>
      </c>
      <c r="E99" s="119"/>
      <c r="F99" s="119"/>
      <c r="G99" s="119"/>
      <c r="H99" s="119"/>
      <c r="I99" s="119"/>
      <c r="J99" s="119"/>
      <c r="K99" s="119"/>
    </row>
    <row r="101" spans="2:13" x14ac:dyDescent="0.25">
      <c r="B101" s="124" t="s">
        <v>822</v>
      </c>
      <c r="C101" s="124" t="s">
        <v>821</v>
      </c>
      <c r="D101" s="122" t="s">
        <v>820</v>
      </c>
      <c r="E101" s="119"/>
      <c r="F101" s="119"/>
      <c r="G101" s="119"/>
      <c r="H101" s="119"/>
      <c r="I101" s="119"/>
      <c r="J101" s="119"/>
      <c r="K101" s="119"/>
      <c r="L101" s="122" t="s">
        <v>545</v>
      </c>
      <c r="M101" s="119"/>
    </row>
    <row r="102" spans="2:13" x14ac:dyDescent="0.25">
      <c r="D102" s="122" t="s">
        <v>819</v>
      </c>
      <c r="E102" s="119"/>
      <c r="F102" s="119"/>
      <c r="G102" s="119"/>
      <c r="H102" s="119"/>
      <c r="I102" s="119"/>
      <c r="J102" s="119"/>
      <c r="K102" s="119"/>
    </row>
    <row r="104" spans="2:13" x14ac:dyDescent="0.25">
      <c r="C104" s="124" t="s">
        <v>817</v>
      </c>
      <c r="D104" s="122" t="s">
        <v>818</v>
      </c>
      <c r="E104" s="119"/>
      <c r="F104" s="119"/>
      <c r="G104" s="119"/>
      <c r="H104" s="119"/>
      <c r="I104" s="119"/>
      <c r="J104" s="119"/>
      <c r="K104" s="119"/>
      <c r="L104" s="122" t="s">
        <v>545</v>
      </c>
      <c r="M104" s="119"/>
    </row>
    <row r="106" spans="2:13" x14ac:dyDescent="0.25">
      <c r="C106" s="124" t="s">
        <v>817</v>
      </c>
      <c r="D106" s="122" t="s">
        <v>816</v>
      </c>
      <c r="E106" s="119"/>
      <c r="F106" s="119"/>
      <c r="G106" s="119"/>
      <c r="H106" s="119"/>
      <c r="I106" s="119"/>
      <c r="J106" s="119"/>
      <c r="K106" s="119"/>
      <c r="L106" s="122" t="s">
        <v>545</v>
      </c>
      <c r="M106" s="119"/>
    </row>
    <row r="108" spans="2:13" x14ac:dyDescent="0.25">
      <c r="B108" s="124" t="s">
        <v>813</v>
      </c>
      <c r="C108" s="124" t="s">
        <v>815</v>
      </c>
      <c r="D108" s="122" t="s">
        <v>814</v>
      </c>
      <c r="E108" s="119"/>
      <c r="F108" s="119"/>
      <c r="G108" s="119"/>
      <c r="H108" s="119"/>
      <c r="I108" s="119"/>
      <c r="J108" s="119"/>
      <c r="K108" s="119"/>
      <c r="L108" s="122" t="s">
        <v>545</v>
      </c>
      <c r="M108" s="119"/>
    </row>
    <row r="110" spans="2:13" x14ac:dyDescent="0.25">
      <c r="B110" s="124" t="s">
        <v>813</v>
      </c>
      <c r="C110" s="124" t="s">
        <v>812</v>
      </c>
      <c r="D110" s="122" t="s">
        <v>811</v>
      </c>
      <c r="E110" s="119"/>
      <c r="F110" s="119"/>
      <c r="G110" s="119"/>
      <c r="H110" s="119"/>
      <c r="I110" s="119"/>
      <c r="J110" s="119"/>
      <c r="K110" s="119"/>
      <c r="L110" s="122" t="s">
        <v>545</v>
      </c>
      <c r="M110" s="119"/>
    </row>
    <row r="112" spans="2:13" x14ac:dyDescent="0.25">
      <c r="C112" s="124" t="s">
        <v>809</v>
      </c>
      <c r="D112" s="122" t="s">
        <v>810</v>
      </c>
      <c r="E112" s="119"/>
      <c r="F112" s="119"/>
      <c r="G112" s="119"/>
      <c r="H112" s="119"/>
      <c r="I112" s="119"/>
      <c r="J112" s="119"/>
      <c r="K112" s="119"/>
      <c r="L112" s="122" t="s">
        <v>545</v>
      </c>
      <c r="M112" s="119"/>
    </row>
    <row r="114" spans="2:13" x14ac:dyDescent="0.25">
      <c r="C114" s="124" t="s">
        <v>809</v>
      </c>
      <c r="D114" s="122" t="s">
        <v>808</v>
      </c>
      <c r="E114" s="119"/>
      <c r="F114" s="119"/>
      <c r="G114" s="119"/>
      <c r="H114" s="119"/>
      <c r="I114" s="119"/>
      <c r="J114" s="119"/>
      <c r="K114" s="119"/>
      <c r="L114" s="122" t="s">
        <v>545</v>
      </c>
      <c r="M114" s="119"/>
    </row>
    <row r="116" spans="2:13" x14ac:dyDescent="0.25">
      <c r="C116" s="124" t="s">
        <v>807</v>
      </c>
      <c r="D116" s="122" t="s">
        <v>806</v>
      </c>
      <c r="E116" s="119"/>
      <c r="F116" s="119"/>
      <c r="G116" s="119"/>
      <c r="H116" s="119"/>
      <c r="I116" s="119"/>
      <c r="J116" s="119"/>
      <c r="K116" s="119"/>
      <c r="L116" s="122" t="s">
        <v>545</v>
      </c>
      <c r="M116" s="119"/>
    </row>
    <row r="118" spans="2:13" x14ac:dyDescent="0.25">
      <c r="B118" s="124" t="s">
        <v>805</v>
      </c>
      <c r="C118" s="124" t="s">
        <v>804</v>
      </c>
      <c r="D118" s="122" t="s">
        <v>803</v>
      </c>
      <c r="E118" s="119"/>
      <c r="F118" s="119"/>
      <c r="G118" s="119"/>
      <c r="H118" s="119"/>
      <c r="I118" s="119"/>
      <c r="J118" s="119"/>
      <c r="K118" s="119"/>
      <c r="L118" s="122" t="s">
        <v>799</v>
      </c>
      <c r="M118" s="119"/>
    </row>
    <row r="119" spans="2:13" x14ac:dyDescent="0.25">
      <c r="L119" s="122" t="s">
        <v>759</v>
      </c>
      <c r="M119" s="119"/>
    </row>
    <row r="121" spans="2:13" x14ac:dyDescent="0.25">
      <c r="B121" s="124" t="s">
        <v>802</v>
      </c>
      <c r="C121" s="124" t="s">
        <v>801</v>
      </c>
      <c r="D121" s="122" t="s">
        <v>800</v>
      </c>
      <c r="E121" s="119"/>
      <c r="F121" s="119"/>
      <c r="G121" s="119"/>
      <c r="H121" s="119"/>
      <c r="I121" s="119"/>
      <c r="J121" s="119"/>
      <c r="K121" s="119"/>
      <c r="L121" s="122" t="s">
        <v>799</v>
      </c>
      <c r="M121" s="119"/>
    </row>
    <row r="122" spans="2:13" x14ac:dyDescent="0.25">
      <c r="L122" s="122" t="s">
        <v>759</v>
      </c>
      <c r="M122" s="119"/>
    </row>
    <row r="124" spans="2:13" x14ac:dyDescent="0.25">
      <c r="B124" s="124" t="s">
        <v>798</v>
      </c>
      <c r="C124" s="124" t="s">
        <v>754</v>
      </c>
      <c r="D124" s="122" t="s">
        <v>797</v>
      </c>
      <c r="E124" s="119"/>
      <c r="F124" s="119"/>
      <c r="G124" s="119"/>
      <c r="H124" s="119"/>
      <c r="I124" s="119"/>
      <c r="J124" s="119"/>
      <c r="K124" s="119"/>
      <c r="L124" s="122" t="s">
        <v>545</v>
      </c>
      <c r="M124" s="119"/>
    </row>
    <row r="126" spans="2:13" x14ac:dyDescent="0.25">
      <c r="C126" s="124" t="s">
        <v>796</v>
      </c>
      <c r="D126" s="122" t="s">
        <v>795</v>
      </c>
      <c r="E126" s="119"/>
      <c r="F126" s="119"/>
      <c r="G126" s="119"/>
      <c r="H126" s="119"/>
      <c r="I126" s="119"/>
      <c r="J126" s="119"/>
      <c r="K126" s="119"/>
      <c r="L126" s="122" t="s">
        <v>545</v>
      </c>
      <c r="M126" s="119"/>
    </row>
    <row r="128" spans="2:13" x14ac:dyDescent="0.25">
      <c r="C128" s="124" t="s">
        <v>794</v>
      </c>
      <c r="D128" s="122" t="s">
        <v>793</v>
      </c>
      <c r="E128" s="119"/>
      <c r="F128" s="119"/>
      <c r="G128" s="119"/>
      <c r="H128" s="119"/>
      <c r="I128" s="119"/>
      <c r="J128" s="119"/>
      <c r="K128" s="119"/>
      <c r="L128" s="122" t="s">
        <v>545</v>
      </c>
      <c r="M128" s="119"/>
    </row>
    <row r="130" spans="2:13" x14ac:dyDescent="0.25">
      <c r="B130" s="124" t="s">
        <v>792</v>
      </c>
      <c r="C130" s="124" t="s">
        <v>791</v>
      </c>
      <c r="D130" s="122" t="s">
        <v>790</v>
      </c>
      <c r="E130" s="119"/>
      <c r="F130" s="119"/>
      <c r="G130" s="119"/>
      <c r="H130" s="119"/>
      <c r="I130" s="119"/>
      <c r="J130" s="119"/>
      <c r="K130" s="119"/>
      <c r="L130" s="122" t="s">
        <v>789</v>
      </c>
      <c r="M130" s="119"/>
    </row>
    <row r="131" spans="2:13" x14ac:dyDescent="0.25">
      <c r="D131" s="122" t="s">
        <v>788</v>
      </c>
      <c r="E131" s="119"/>
      <c r="F131" s="119"/>
      <c r="G131" s="119"/>
      <c r="H131" s="119"/>
      <c r="I131" s="119"/>
      <c r="J131" s="119"/>
      <c r="K131" s="119"/>
      <c r="L131" s="122" t="s">
        <v>728</v>
      </c>
      <c r="M131" s="119"/>
    </row>
    <row r="132" spans="2:13" x14ac:dyDescent="0.25">
      <c r="L132" s="122" t="s">
        <v>727</v>
      </c>
      <c r="M132" s="119"/>
    </row>
    <row r="134" spans="2:13" x14ac:dyDescent="0.25">
      <c r="B134" s="124" t="s">
        <v>781</v>
      </c>
      <c r="C134" s="124" t="s">
        <v>784</v>
      </c>
      <c r="D134" s="122" t="s">
        <v>783</v>
      </c>
      <c r="E134" s="119"/>
      <c r="F134" s="119"/>
      <c r="G134" s="119"/>
      <c r="H134" s="119"/>
      <c r="I134" s="119"/>
      <c r="J134" s="119"/>
      <c r="K134" s="119"/>
      <c r="L134" s="122" t="s">
        <v>782</v>
      </c>
      <c r="M134" s="119"/>
    </row>
    <row r="135" spans="2:13" x14ac:dyDescent="0.25">
      <c r="L135" s="122" t="s">
        <v>759</v>
      </c>
      <c r="M135" s="119"/>
    </row>
    <row r="137" spans="2:13" x14ac:dyDescent="0.25">
      <c r="B137" s="124" t="s">
        <v>781</v>
      </c>
      <c r="C137" s="124" t="s">
        <v>787</v>
      </c>
      <c r="D137" s="122" t="s">
        <v>786</v>
      </c>
      <c r="E137" s="119"/>
      <c r="F137" s="119"/>
      <c r="G137" s="119"/>
      <c r="H137" s="119"/>
      <c r="I137" s="119"/>
      <c r="J137" s="119"/>
      <c r="K137" s="119"/>
      <c r="L137" s="122" t="s">
        <v>778</v>
      </c>
      <c r="M137" s="119"/>
    </row>
    <row r="138" spans="2:13" x14ac:dyDescent="0.25">
      <c r="D138" s="122" t="s">
        <v>785</v>
      </c>
      <c r="E138" s="119"/>
      <c r="F138" s="119"/>
      <c r="G138" s="119"/>
      <c r="H138" s="119"/>
      <c r="I138" s="119"/>
      <c r="J138" s="119"/>
      <c r="K138" s="119"/>
      <c r="L138" s="122" t="s">
        <v>759</v>
      </c>
      <c r="M138" s="119"/>
    </row>
    <row r="140" spans="2:13" x14ac:dyDescent="0.25">
      <c r="B140" s="124" t="s">
        <v>781</v>
      </c>
      <c r="C140" s="124" t="s">
        <v>784</v>
      </c>
      <c r="D140" s="122" t="s">
        <v>783</v>
      </c>
      <c r="E140" s="119"/>
      <c r="F140" s="119"/>
      <c r="G140" s="119"/>
      <c r="H140" s="119"/>
      <c r="I140" s="119"/>
      <c r="J140" s="119"/>
      <c r="K140" s="119"/>
      <c r="L140" s="122" t="s">
        <v>782</v>
      </c>
      <c r="M140" s="119"/>
    </row>
    <row r="141" spans="2:13" x14ac:dyDescent="0.25">
      <c r="L141" s="122" t="s">
        <v>759</v>
      </c>
      <c r="M141" s="119"/>
    </row>
    <row r="143" spans="2:13" x14ac:dyDescent="0.25">
      <c r="B143" s="124" t="s">
        <v>781</v>
      </c>
      <c r="C143" s="124" t="s">
        <v>780</v>
      </c>
      <c r="D143" s="122" t="s">
        <v>779</v>
      </c>
      <c r="E143" s="119"/>
      <c r="F143" s="119"/>
      <c r="G143" s="119"/>
      <c r="H143" s="119"/>
      <c r="I143" s="119"/>
      <c r="J143" s="119"/>
      <c r="K143" s="119"/>
      <c r="L143" s="122" t="s">
        <v>778</v>
      </c>
      <c r="M143" s="119"/>
    </row>
    <row r="144" spans="2:13" x14ac:dyDescent="0.25">
      <c r="L144" s="122" t="s">
        <v>759</v>
      </c>
      <c r="M144" s="119"/>
    </row>
    <row r="146" spans="2:13" x14ac:dyDescent="0.25">
      <c r="B146" s="124" t="s">
        <v>536</v>
      </c>
      <c r="C146" s="123"/>
      <c r="D146" s="122" t="s">
        <v>777</v>
      </c>
      <c r="E146" s="119"/>
      <c r="F146" s="119"/>
      <c r="G146" s="119"/>
      <c r="H146" s="119"/>
      <c r="I146" s="119"/>
      <c r="J146" s="119"/>
      <c r="K146" s="119"/>
      <c r="L146" s="122" t="s">
        <v>545</v>
      </c>
      <c r="M146" s="119"/>
    </row>
    <row r="148" spans="2:13" x14ac:dyDescent="0.25">
      <c r="B148" s="124" t="s">
        <v>774</v>
      </c>
      <c r="C148" s="124" t="s">
        <v>773</v>
      </c>
      <c r="D148" s="122" t="s">
        <v>776</v>
      </c>
      <c r="E148" s="119"/>
      <c r="F148" s="119"/>
      <c r="G148" s="119"/>
      <c r="H148" s="119"/>
      <c r="I148" s="119"/>
      <c r="J148" s="119"/>
      <c r="K148" s="119"/>
      <c r="L148" s="122" t="s">
        <v>545</v>
      </c>
      <c r="M148" s="119"/>
    </row>
    <row r="149" spans="2:13" x14ac:dyDescent="0.25">
      <c r="D149" s="122" t="s">
        <v>775</v>
      </c>
      <c r="E149" s="119"/>
      <c r="F149" s="119"/>
      <c r="G149" s="119"/>
      <c r="H149" s="119"/>
      <c r="I149" s="119"/>
      <c r="J149" s="119"/>
      <c r="K149" s="119"/>
    </row>
    <row r="151" spans="2:13" x14ac:dyDescent="0.25">
      <c r="B151" s="124" t="s">
        <v>774</v>
      </c>
      <c r="C151" s="124" t="s">
        <v>773</v>
      </c>
      <c r="D151" s="122" t="s">
        <v>772</v>
      </c>
      <c r="E151" s="119"/>
      <c r="F151" s="119"/>
      <c r="G151" s="119"/>
      <c r="H151" s="119"/>
      <c r="I151" s="119"/>
      <c r="J151" s="119"/>
      <c r="K151" s="119"/>
      <c r="L151" s="122" t="s">
        <v>545</v>
      </c>
      <c r="M151" s="119"/>
    </row>
    <row r="152" spans="2:13" x14ac:dyDescent="0.25">
      <c r="D152" s="122" t="s">
        <v>771</v>
      </c>
      <c r="E152" s="119"/>
      <c r="F152" s="119"/>
      <c r="G152" s="119"/>
      <c r="H152" s="119"/>
      <c r="I152" s="119"/>
      <c r="J152" s="119"/>
      <c r="K152" s="119"/>
    </row>
    <row r="154" spans="2:13" x14ac:dyDescent="0.25">
      <c r="B154" s="124" t="s">
        <v>770</v>
      </c>
      <c r="C154" s="124" t="s">
        <v>769</v>
      </c>
      <c r="D154" s="122" t="s">
        <v>768</v>
      </c>
      <c r="E154" s="119"/>
      <c r="F154" s="119"/>
      <c r="G154" s="119"/>
      <c r="H154" s="119"/>
      <c r="I154" s="119"/>
      <c r="J154" s="119"/>
      <c r="K154" s="119"/>
      <c r="L154" s="122" t="s">
        <v>545</v>
      </c>
      <c r="M154" s="119"/>
    </row>
    <row r="156" spans="2:13" x14ac:dyDescent="0.25">
      <c r="B156" s="124" t="s">
        <v>531</v>
      </c>
      <c r="C156" s="124" t="s">
        <v>767</v>
      </c>
      <c r="D156" s="122" t="s">
        <v>766</v>
      </c>
      <c r="E156" s="119"/>
      <c r="F156" s="119"/>
      <c r="G156" s="119"/>
      <c r="H156" s="119"/>
      <c r="I156" s="119"/>
      <c r="J156" s="119"/>
      <c r="K156" s="119"/>
      <c r="L156" s="122" t="s">
        <v>545</v>
      </c>
      <c r="M156" s="119"/>
    </row>
    <row r="157" spans="2:13" x14ac:dyDescent="0.25">
      <c r="D157" s="122" t="s">
        <v>765</v>
      </c>
      <c r="E157" s="119"/>
      <c r="F157" s="119"/>
      <c r="G157" s="119"/>
      <c r="H157" s="119"/>
      <c r="I157" s="119"/>
      <c r="J157" s="119"/>
      <c r="K157" s="119"/>
    </row>
    <row r="159" spans="2:13" x14ac:dyDescent="0.25">
      <c r="B159" s="124" t="s">
        <v>764</v>
      </c>
      <c r="C159" s="124" t="s">
        <v>763</v>
      </c>
      <c r="D159" s="122" t="s">
        <v>762</v>
      </c>
      <c r="E159" s="119"/>
      <c r="F159" s="119"/>
      <c r="G159" s="119"/>
      <c r="H159" s="119"/>
      <c r="I159" s="119"/>
      <c r="J159" s="119"/>
      <c r="K159" s="119"/>
      <c r="L159" s="122" t="s">
        <v>761</v>
      </c>
      <c r="M159" s="119"/>
    </row>
    <row r="160" spans="2:13" x14ac:dyDescent="0.25">
      <c r="D160" s="122" t="s">
        <v>760</v>
      </c>
      <c r="E160" s="119"/>
      <c r="F160" s="119"/>
      <c r="G160" s="119"/>
      <c r="H160" s="119"/>
      <c r="I160" s="119"/>
      <c r="J160" s="119"/>
      <c r="K160" s="119"/>
      <c r="L160" s="122" t="s">
        <v>759</v>
      </c>
      <c r="M160" s="119"/>
    </row>
    <row r="162" spans="2:13" x14ac:dyDescent="0.25">
      <c r="B162" s="124" t="s">
        <v>758</v>
      </c>
      <c r="C162" s="123"/>
      <c r="D162" s="122" t="s">
        <v>757</v>
      </c>
      <c r="E162" s="119"/>
      <c r="F162" s="119"/>
      <c r="G162" s="119"/>
      <c r="H162" s="119"/>
      <c r="I162" s="119"/>
      <c r="J162" s="119"/>
      <c r="K162" s="119"/>
      <c r="L162" s="122" t="s">
        <v>545</v>
      </c>
      <c r="M162" s="119"/>
    </row>
    <row r="164" spans="2:13" x14ac:dyDescent="0.25">
      <c r="C164" s="124" t="s">
        <v>756</v>
      </c>
      <c r="D164" s="122" t="s">
        <v>755</v>
      </c>
      <c r="E164" s="119"/>
      <c r="F164" s="119"/>
      <c r="G164" s="119"/>
      <c r="H164" s="119"/>
      <c r="I164" s="119"/>
      <c r="J164" s="119"/>
      <c r="K164" s="119"/>
      <c r="L164" s="122" t="s">
        <v>545</v>
      </c>
      <c r="M164" s="119"/>
    </row>
    <row r="166" spans="2:13" x14ac:dyDescent="0.25">
      <c r="B166" s="124" t="s">
        <v>754</v>
      </c>
      <c r="C166" s="124" t="s">
        <v>753</v>
      </c>
      <c r="D166" s="122" t="s">
        <v>752</v>
      </c>
      <c r="E166" s="119"/>
      <c r="F166" s="119"/>
      <c r="G166" s="119"/>
      <c r="H166" s="119"/>
      <c r="I166" s="119"/>
      <c r="J166" s="119"/>
      <c r="K166" s="119"/>
      <c r="L166" s="122" t="s">
        <v>545</v>
      </c>
      <c r="M166" s="119"/>
    </row>
    <row r="167" spans="2:13" x14ac:dyDescent="0.25">
      <c r="D167" s="122" t="s">
        <v>751</v>
      </c>
      <c r="E167" s="119"/>
      <c r="F167" s="119"/>
      <c r="G167" s="119"/>
      <c r="H167" s="119"/>
      <c r="I167" s="119"/>
      <c r="J167" s="119"/>
      <c r="K167" s="119"/>
    </row>
    <row r="169" spans="2:13" x14ac:dyDescent="0.25">
      <c r="B169" s="124" t="s">
        <v>750</v>
      </c>
      <c r="C169" s="124" t="s">
        <v>749</v>
      </c>
      <c r="D169" s="122" t="s">
        <v>748</v>
      </c>
      <c r="E169" s="119"/>
      <c r="F169" s="119"/>
      <c r="G169" s="119"/>
      <c r="H169" s="119"/>
      <c r="I169" s="119"/>
      <c r="J169" s="119"/>
      <c r="K169" s="119"/>
      <c r="L169" s="122" t="s">
        <v>545</v>
      </c>
      <c r="M169" s="119"/>
    </row>
    <row r="170" spans="2:13" x14ac:dyDescent="0.25">
      <c r="D170" s="122" t="s">
        <v>747</v>
      </c>
      <c r="E170" s="119"/>
      <c r="F170" s="119"/>
      <c r="G170" s="119"/>
      <c r="H170" s="119"/>
      <c r="I170" s="119"/>
      <c r="J170" s="119"/>
      <c r="K170" s="119"/>
    </row>
    <row r="172" spans="2:13" x14ac:dyDescent="0.25">
      <c r="B172" s="124" t="s">
        <v>526</v>
      </c>
      <c r="C172" s="123"/>
      <c r="D172" s="122" t="s">
        <v>746</v>
      </c>
      <c r="E172" s="119"/>
      <c r="F172" s="119"/>
      <c r="G172" s="119"/>
      <c r="H172" s="119"/>
      <c r="I172" s="119"/>
      <c r="J172" s="119"/>
      <c r="K172" s="119"/>
      <c r="L172" s="122" t="s">
        <v>545</v>
      </c>
      <c r="M172" s="119"/>
    </row>
    <row r="174" spans="2:13" x14ac:dyDescent="0.25">
      <c r="B174" s="124" t="s">
        <v>743</v>
      </c>
      <c r="C174" s="123"/>
      <c r="D174" s="122" t="s">
        <v>745</v>
      </c>
      <c r="E174" s="119"/>
      <c r="F174" s="119"/>
      <c r="G174" s="119"/>
      <c r="H174" s="119"/>
      <c r="I174" s="119"/>
      <c r="J174" s="119"/>
      <c r="K174" s="119"/>
      <c r="L174" s="122" t="s">
        <v>545</v>
      </c>
      <c r="M174" s="119"/>
    </row>
    <row r="176" spans="2:13" x14ac:dyDescent="0.25">
      <c r="B176" s="124" t="s">
        <v>743</v>
      </c>
      <c r="C176" s="123"/>
      <c r="D176" s="122" t="s">
        <v>744</v>
      </c>
      <c r="E176" s="119"/>
      <c r="F176" s="119"/>
      <c r="G176" s="119"/>
      <c r="H176" s="119"/>
      <c r="I176" s="119"/>
      <c r="J176" s="119"/>
      <c r="K176" s="119"/>
      <c r="L176" s="122" t="s">
        <v>545</v>
      </c>
      <c r="M176" s="119"/>
    </row>
    <row r="178" spans="2:13" x14ac:dyDescent="0.25">
      <c r="B178" s="124" t="s">
        <v>743</v>
      </c>
      <c r="C178" s="123"/>
      <c r="D178" s="122" t="s">
        <v>742</v>
      </c>
      <c r="E178" s="119"/>
      <c r="F178" s="119"/>
      <c r="G178" s="119"/>
      <c r="H178" s="119"/>
      <c r="I178" s="119"/>
      <c r="J178" s="119"/>
      <c r="K178" s="119"/>
      <c r="L178" s="122" t="s">
        <v>545</v>
      </c>
      <c r="M178" s="119"/>
    </row>
    <row r="180" spans="2:13" x14ac:dyDescent="0.25">
      <c r="B180" s="124" t="s">
        <v>741</v>
      </c>
      <c r="C180" s="124" t="s">
        <v>740</v>
      </c>
      <c r="D180" s="122" t="s">
        <v>739</v>
      </c>
      <c r="E180" s="119"/>
      <c r="F180" s="119"/>
      <c r="G180" s="119"/>
      <c r="H180" s="119"/>
      <c r="I180" s="119"/>
      <c r="J180" s="119"/>
      <c r="K180" s="119"/>
      <c r="L180" s="122" t="s">
        <v>545</v>
      </c>
      <c r="M180" s="119"/>
    </row>
    <row r="181" spans="2:13" x14ac:dyDescent="0.25">
      <c r="D181" s="122" t="s">
        <v>738</v>
      </c>
      <c r="E181" s="119"/>
      <c r="F181" s="119"/>
      <c r="G181" s="119"/>
      <c r="H181" s="119"/>
      <c r="I181" s="119"/>
      <c r="J181" s="119"/>
      <c r="K181" s="119"/>
    </row>
    <row r="183" spans="2:13" x14ac:dyDescent="0.25">
      <c r="B183" s="124" t="s">
        <v>737</v>
      </c>
      <c r="C183" s="124" t="s">
        <v>736</v>
      </c>
      <c r="D183" s="122" t="s">
        <v>735</v>
      </c>
      <c r="E183" s="119"/>
      <c r="F183" s="119"/>
      <c r="G183" s="119"/>
      <c r="H183" s="119"/>
      <c r="I183" s="119"/>
      <c r="J183" s="119"/>
      <c r="K183" s="119"/>
      <c r="L183" s="122" t="s">
        <v>734</v>
      </c>
      <c r="M183" s="119"/>
    </row>
    <row r="184" spans="2:13" x14ac:dyDescent="0.25">
      <c r="D184" s="122" t="s">
        <v>733</v>
      </c>
      <c r="E184" s="119"/>
      <c r="F184" s="119"/>
      <c r="G184" s="119"/>
      <c r="H184" s="119"/>
      <c r="I184" s="119"/>
      <c r="J184" s="119"/>
      <c r="K184" s="119"/>
      <c r="L184" s="122" t="s">
        <v>732</v>
      </c>
      <c r="M184" s="119"/>
    </row>
    <row r="185" spans="2:13" x14ac:dyDescent="0.25">
      <c r="D185" s="122" t="s">
        <v>731</v>
      </c>
      <c r="E185" s="119"/>
      <c r="F185" s="119"/>
      <c r="G185" s="119"/>
      <c r="H185" s="119"/>
      <c r="I185" s="119"/>
      <c r="J185" s="119"/>
      <c r="K185" s="119"/>
      <c r="L185" s="122" t="s">
        <v>730</v>
      </c>
      <c r="M185" s="119"/>
    </row>
    <row r="186" spans="2:13" x14ac:dyDescent="0.25">
      <c r="L186" s="122" t="s">
        <v>729</v>
      </c>
      <c r="M186" s="119"/>
    </row>
    <row r="187" spans="2:13" x14ac:dyDescent="0.25">
      <c r="L187" s="122" t="s">
        <v>728</v>
      </c>
      <c r="M187" s="119"/>
    </row>
    <row r="188" spans="2:13" x14ac:dyDescent="0.25">
      <c r="L188" s="122" t="s">
        <v>727</v>
      </c>
      <c r="M188" s="119"/>
    </row>
    <row r="190" spans="2:13" x14ac:dyDescent="0.25">
      <c r="B190" s="124" t="s">
        <v>726</v>
      </c>
      <c r="C190" s="123"/>
      <c r="D190" s="122" t="s">
        <v>725</v>
      </c>
      <c r="E190" s="119"/>
      <c r="F190" s="119"/>
      <c r="G190" s="119"/>
      <c r="H190" s="119"/>
      <c r="I190" s="119"/>
      <c r="J190" s="119"/>
      <c r="K190" s="119"/>
      <c r="L190" s="122" t="s">
        <v>545</v>
      </c>
      <c r="M190" s="119"/>
    </row>
    <row r="192" spans="2:13" x14ac:dyDescent="0.25">
      <c r="B192" s="124" t="s">
        <v>724</v>
      </c>
      <c r="C192" s="123"/>
      <c r="D192" s="122" t="s">
        <v>723</v>
      </c>
      <c r="E192" s="119"/>
      <c r="F192" s="119"/>
      <c r="G192" s="119"/>
      <c r="H192" s="119"/>
      <c r="I192" s="119"/>
      <c r="J192" s="119"/>
      <c r="K192" s="119"/>
      <c r="L192" s="122" t="s">
        <v>545</v>
      </c>
      <c r="M192" s="119"/>
    </row>
    <row r="193" spans="2:13" x14ac:dyDescent="0.25">
      <c r="D193" s="122" t="s">
        <v>722</v>
      </c>
      <c r="E193" s="119"/>
      <c r="F193" s="119"/>
      <c r="G193" s="119"/>
      <c r="H193" s="119"/>
      <c r="I193" s="119"/>
      <c r="J193" s="119"/>
      <c r="K193" s="119"/>
    </row>
    <row r="195" spans="2:13" x14ac:dyDescent="0.25">
      <c r="B195" s="124" t="s">
        <v>720</v>
      </c>
      <c r="C195" s="123"/>
      <c r="D195" s="122" t="s">
        <v>721</v>
      </c>
      <c r="E195" s="119"/>
      <c r="F195" s="119"/>
      <c r="G195" s="119"/>
      <c r="H195" s="119"/>
      <c r="I195" s="119"/>
      <c r="J195" s="119"/>
      <c r="K195" s="119"/>
      <c r="L195" s="122" t="s">
        <v>545</v>
      </c>
      <c r="M195" s="119"/>
    </row>
    <row r="197" spans="2:13" x14ac:dyDescent="0.25">
      <c r="B197" s="124" t="s">
        <v>720</v>
      </c>
      <c r="C197" s="123"/>
      <c r="D197" s="122" t="s">
        <v>719</v>
      </c>
      <c r="E197" s="119"/>
      <c r="F197" s="119"/>
      <c r="G197" s="119"/>
      <c r="H197" s="119"/>
      <c r="I197" s="119"/>
      <c r="J197" s="119"/>
      <c r="K197" s="119"/>
      <c r="L197" s="122" t="s">
        <v>545</v>
      </c>
      <c r="M197" s="119"/>
    </row>
    <row r="199" spans="2:13" x14ac:dyDescent="0.25">
      <c r="B199" s="124" t="s">
        <v>718</v>
      </c>
      <c r="C199" s="123"/>
      <c r="D199" s="122" t="s">
        <v>717</v>
      </c>
      <c r="E199" s="119"/>
      <c r="F199" s="119"/>
      <c r="G199" s="119"/>
      <c r="H199" s="119"/>
      <c r="I199" s="119"/>
      <c r="J199" s="119"/>
      <c r="K199" s="119"/>
      <c r="L199" s="122" t="s">
        <v>545</v>
      </c>
      <c r="M199" s="119"/>
    </row>
    <row r="201" spans="2:13" x14ac:dyDescent="0.25">
      <c r="B201" s="124" t="s">
        <v>715</v>
      </c>
      <c r="C201" s="123"/>
      <c r="D201" s="122" t="s">
        <v>716</v>
      </c>
      <c r="E201" s="119"/>
      <c r="F201" s="119"/>
      <c r="G201" s="119"/>
      <c r="H201" s="119"/>
      <c r="I201" s="119"/>
      <c r="J201" s="119"/>
      <c r="K201" s="119"/>
      <c r="L201" s="122" t="s">
        <v>545</v>
      </c>
      <c r="M201" s="119"/>
    </row>
    <row r="203" spans="2:13" x14ac:dyDescent="0.25">
      <c r="B203" s="124" t="s">
        <v>715</v>
      </c>
      <c r="C203" s="123"/>
      <c r="D203" s="122" t="s">
        <v>714</v>
      </c>
      <c r="E203" s="119"/>
      <c r="F203" s="119"/>
      <c r="G203" s="119"/>
      <c r="H203" s="119"/>
      <c r="I203" s="119"/>
      <c r="J203" s="119"/>
      <c r="K203" s="119"/>
      <c r="L203" s="122" t="s">
        <v>545</v>
      </c>
      <c r="M203" s="119"/>
    </row>
    <row r="205" spans="2:13" x14ac:dyDescent="0.25">
      <c r="B205" s="124" t="s">
        <v>713</v>
      </c>
      <c r="C205" s="124" t="s">
        <v>712</v>
      </c>
      <c r="D205" s="122" t="s">
        <v>711</v>
      </c>
      <c r="E205" s="119"/>
      <c r="F205" s="119"/>
      <c r="G205" s="119"/>
      <c r="H205" s="119"/>
      <c r="I205" s="119"/>
      <c r="J205" s="119"/>
      <c r="K205" s="119"/>
      <c r="L205" s="122" t="s">
        <v>545</v>
      </c>
      <c r="M205" s="119"/>
    </row>
    <row r="206" spans="2:13" x14ac:dyDescent="0.25">
      <c r="D206" s="122" t="s">
        <v>710</v>
      </c>
      <c r="E206" s="119"/>
      <c r="F206" s="119"/>
      <c r="G206" s="119"/>
      <c r="H206" s="119"/>
      <c r="I206" s="119"/>
      <c r="J206" s="119"/>
      <c r="K206" s="119"/>
    </row>
    <row r="208" spans="2:13" x14ac:dyDescent="0.25">
      <c r="B208" s="124" t="s">
        <v>709</v>
      </c>
      <c r="C208" s="124" t="s">
        <v>705</v>
      </c>
      <c r="D208" s="122" t="s">
        <v>708</v>
      </c>
      <c r="E208" s="119"/>
      <c r="F208" s="119"/>
      <c r="G208" s="119"/>
      <c r="H208" s="119"/>
      <c r="I208" s="119"/>
      <c r="J208" s="119"/>
      <c r="K208" s="119"/>
      <c r="L208" s="122" t="s">
        <v>545</v>
      </c>
      <c r="M208" s="119"/>
    </row>
    <row r="209" spans="2:13" x14ac:dyDescent="0.25">
      <c r="D209" s="122" t="s">
        <v>707</v>
      </c>
      <c r="E209" s="119"/>
      <c r="F209" s="119"/>
      <c r="G209" s="119"/>
      <c r="H209" s="119"/>
      <c r="I209" s="119"/>
      <c r="J209" s="119"/>
      <c r="K209" s="119"/>
    </row>
    <row r="211" spans="2:13" x14ac:dyDescent="0.25">
      <c r="B211" s="124" t="s">
        <v>706</v>
      </c>
      <c r="C211" s="124" t="s">
        <v>705</v>
      </c>
      <c r="D211" s="122" t="s">
        <v>704</v>
      </c>
      <c r="E211" s="119"/>
      <c r="F211" s="119"/>
      <c r="G211" s="119"/>
      <c r="H211" s="119"/>
      <c r="I211" s="119"/>
      <c r="J211" s="119"/>
      <c r="K211" s="119"/>
      <c r="L211" s="122" t="s">
        <v>545</v>
      </c>
      <c r="M211" s="119"/>
    </row>
    <row r="213" spans="2:13" x14ac:dyDescent="0.25">
      <c r="B213" s="124" t="s">
        <v>701</v>
      </c>
      <c r="C213" s="123"/>
      <c r="D213" s="122" t="s">
        <v>703</v>
      </c>
      <c r="E213" s="119"/>
      <c r="F213" s="119"/>
      <c r="G213" s="119"/>
      <c r="H213" s="119"/>
      <c r="I213" s="119"/>
      <c r="J213" s="119"/>
      <c r="K213" s="119"/>
      <c r="L213" s="122" t="s">
        <v>545</v>
      </c>
      <c r="M213" s="119"/>
    </row>
    <row r="214" spans="2:13" x14ac:dyDescent="0.25">
      <c r="D214" s="122" t="s">
        <v>702</v>
      </c>
      <c r="E214" s="119"/>
      <c r="F214" s="119"/>
      <c r="G214" s="119"/>
      <c r="H214" s="119"/>
      <c r="I214" s="119"/>
      <c r="J214" s="119"/>
      <c r="K214" s="119"/>
    </row>
    <row r="216" spans="2:13" x14ac:dyDescent="0.25">
      <c r="B216" s="124" t="s">
        <v>701</v>
      </c>
      <c r="C216" s="123"/>
      <c r="D216" s="122" t="s">
        <v>700</v>
      </c>
      <c r="E216" s="119"/>
      <c r="F216" s="119"/>
      <c r="G216" s="119"/>
      <c r="H216" s="119"/>
      <c r="I216" s="119"/>
      <c r="J216" s="119"/>
      <c r="K216" s="119"/>
      <c r="L216" s="122" t="s">
        <v>545</v>
      </c>
      <c r="M216" s="119"/>
    </row>
    <row r="217" spans="2:13" x14ac:dyDescent="0.25">
      <c r="D217" s="122" t="s">
        <v>699</v>
      </c>
      <c r="E217" s="119"/>
      <c r="F217" s="119"/>
      <c r="G217" s="119"/>
      <c r="H217" s="119"/>
      <c r="I217" s="119"/>
      <c r="J217" s="119"/>
      <c r="K217" s="119"/>
    </row>
    <row r="219" spans="2:13" x14ac:dyDescent="0.25">
      <c r="B219" s="124" t="s">
        <v>697</v>
      </c>
      <c r="C219" s="123"/>
      <c r="D219" s="122" t="s">
        <v>698</v>
      </c>
      <c r="E219" s="119"/>
      <c r="F219" s="119"/>
      <c r="G219" s="119"/>
      <c r="H219" s="119"/>
      <c r="I219" s="119"/>
      <c r="J219" s="119"/>
      <c r="K219" s="119"/>
      <c r="L219" s="122" t="s">
        <v>545</v>
      </c>
      <c r="M219" s="119"/>
    </row>
    <row r="220" spans="2:13" x14ac:dyDescent="0.25">
      <c r="D220" s="122" t="s">
        <v>695</v>
      </c>
      <c r="E220" s="119"/>
      <c r="F220" s="119"/>
      <c r="G220" s="119"/>
      <c r="H220" s="119"/>
      <c r="I220" s="119"/>
      <c r="J220" s="119"/>
      <c r="K220" s="119"/>
    </row>
    <row r="222" spans="2:13" x14ac:dyDescent="0.25">
      <c r="B222" s="124" t="s">
        <v>697</v>
      </c>
      <c r="C222" s="123"/>
      <c r="D222" s="122" t="s">
        <v>696</v>
      </c>
      <c r="E222" s="119"/>
      <c r="F222" s="119"/>
      <c r="G222" s="119"/>
      <c r="H222" s="119"/>
      <c r="I222" s="119"/>
      <c r="J222" s="119"/>
      <c r="K222" s="119"/>
      <c r="L222" s="122" t="s">
        <v>545</v>
      </c>
      <c r="M222" s="119"/>
    </row>
    <row r="223" spans="2:13" x14ac:dyDescent="0.25">
      <c r="D223" s="122" t="s">
        <v>695</v>
      </c>
      <c r="E223" s="119"/>
      <c r="F223" s="119"/>
      <c r="G223" s="119"/>
      <c r="H223" s="119"/>
      <c r="I223" s="119"/>
      <c r="J223" s="119"/>
      <c r="K223" s="119"/>
    </row>
    <row r="224" spans="2:13" x14ac:dyDescent="0.25">
      <c r="D224" s="121"/>
    </row>
    <row r="225" spans="3:13" x14ac:dyDescent="0.25">
      <c r="D225" s="121"/>
    </row>
    <row r="226" spans="3:13" x14ac:dyDescent="0.25">
      <c r="D226" s="121"/>
    </row>
    <row r="227" spans="3:13" x14ac:dyDescent="0.25">
      <c r="D227" s="121"/>
    </row>
    <row r="228" spans="3:13" x14ac:dyDescent="0.25">
      <c r="D228" s="121"/>
    </row>
    <row r="229" spans="3:13" x14ac:dyDescent="0.25">
      <c r="D229" s="121"/>
    </row>
    <row r="230" spans="3:13" x14ac:dyDescent="0.25">
      <c r="D230" s="121"/>
    </row>
    <row r="231" spans="3:13" x14ac:dyDescent="0.25">
      <c r="D231" s="121"/>
    </row>
    <row r="236" spans="3:13" x14ac:dyDescent="0.25">
      <c r="C236" s="120" t="s">
        <v>520</v>
      </c>
      <c r="D236" s="119"/>
      <c r="E236" s="119"/>
      <c r="G236" s="120" t="s">
        <v>521</v>
      </c>
      <c r="H236" s="119"/>
      <c r="I236" s="119"/>
      <c r="K236" s="120" t="s">
        <v>694</v>
      </c>
      <c r="L236" s="119"/>
      <c r="M236" s="119"/>
    </row>
    <row r="237" spans="3:13" x14ac:dyDescent="0.25">
      <c r="C237" s="120" t="s">
        <v>522</v>
      </c>
      <c r="D237" s="119"/>
      <c r="E237" s="119"/>
      <c r="G237" s="120" t="s">
        <v>522</v>
      </c>
      <c r="H237" s="119"/>
      <c r="I237" s="119"/>
      <c r="K237" s="120" t="s">
        <v>522</v>
      </c>
      <c r="L237" s="119"/>
      <c r="M237" s="119"/>
    </row>
  </sheetData>
  <mergeCells count="266">
    <mergeCell ref="E63:F63"/>
    <mergeCell ref="G63:H63"/>
    <mergeCell ref="I63:J63"/>
    <mergeCell ref="E61:F61"/>
    <mergeCell ref="G61:H61"/>
    <mergeCell ref="I61:J61"/>
    <mergeCell ref="E62:F62"/>
    <mergeCell ref="G62:H62"/>
    <mergeCell ref="I62:J62"/>
    <mergeCell ref="E54:F54"/>
    <mergeCell ref="E55:F55"/>
    <mergeCell ref="A53:C53"/>
    <mergeCell ref="A54:C54"/>
    <mergeCell ref="C71:L71"/>
    <mergeCell ref="G59:H59"/>
    <mergeCell ref="I59:J59"/>
    <mergeCell ref="E60:F60"/>
    <mergeCell ref="G60:H60"/>
    <mergeCell ref="I60:J60"/>
    <mergeCell ref="I45:J45"/>
    <mergeCell ref="A55:C55"/>
    <mergeCell ref="A56:C56"/>
    <mergeCell ref="D58:K58"/>
    <mergeCell ref="E59:F59"/>
    <mergeCell ref="C72:G72"/>
    <mergeCell ref="H72:L72"/>
    <mergeCell ref="E53:F53"/>
    <mergeCell ref="G56:I56"/>
    <mergeCell ref="E56:F56"/>
    <mergeCell ref="D73:F73"/>
    <mergeCell ref="I73:K73"/>
    <mergeCell ref="E44:J44"/>
    <mergeCell ref="F46:G46"/>
    <mergeCell ref="F47:G47"/>
    <mergeCell ref="F48:G48"/>
    <mergeCell ref="F49:G49"/>
    <mergeCell ref="I46:J46"/>
    <mergeCell ref="I47:J47"/>
    <mergeCell ref="I48:J48"/>
    <mergeCell ref="B11:D11"/>
    <mergeCell ref="A52:M52"/>
    <mergeCell ref="G53:I53"/>
    <mergeCell ref="G54:I54"/>
    <mergeCell ref="G55:I55"/>
    <mergeCell ref="B24:D24"/>
    <mergeCell ref="B16:D16"/>
    <mergeCell ref="I49:J49"/>
    <mergeCell ref="G50:H50"/>
    <mergeCell ref="F45:G45"/>
    <mergeCell ref="K8:L8"/>
    <mergeCell ref="H9:J9"/>
    <mergeCell ref="K9:L9"/>
    <mergeCell ref="B8:D8"/>
    <mergeCell ref="B9:D9"/>
    <mergeCell ref="B10:D10"/>
    <mergeCell ref="K13:L13"/>
    <mergeCell ref="C1:M1"/>
    <mergeCell ref="E2:K2"/>
    <mergeCell ref="E3:K3"/>
    <mergeCell ref="E4:K4"/>
    <mergeCell ref="D6:E6"/>
    <mergeCell ref="D7:K7"/>
    <mergeCell ref="H10:J10"/>
    <mergeCell ref="K10:L10"/>
    <mergeCell ref="H8:J8"/>
    <mergeCell ref="B21:D21"/>
    <mergeCell ref="B22:D22"/>
    <mergeCell ref="B23:D23"/>
    <mergeCell ref="H11:J11"/>
    <mergeCell ref="K11:L11"/>
    <mergeCell ref="B13:D13"/>
    <mergeCell ref="B12:D12"/>
    <mergeCell ref="H12:J12"/>
    <mergeCell ref="K12:L12"/>
    <mergeCell ref="H13:J13"/>
    <mergeCell ref="E66:F66"/>
    <mergeCell ref="G66:H66"/>
    <mergeCell ref="I66:J66"/>
    <mergeCell ref="D15:K15"/>
    <mergeCell ref="B25:D25"/>
    <mergeCell ref="B26:D26"/>
    <mergeCell ref="B17:D17"/>
    <mergeCell ref="B18:D18"/>
    <mergeCell ref="B19:D19"/>
    <mergeCell ref="B20:D20"/>
    <mergeCell ref="E64:F64"/>
    <mergeCell ref="G64:H64"/>
    <mergeCell ref="I64:J64"/>
    <mergeCell ref="E65:F65"/>
    <mergeCell ref="G65:H65"/>
    <mergeCell ref="I65:J65"/>
    <mergeCell ref="I79:J79"/>
    <mergeCell ref="E67:F67"/>
    <mergeCell ref="G67:H67"/>
    <mergeCell ref="I67:J67"/>
    <mergeCell ref="E68:F68"/>
    <mergeCell ref="G68:H68"/>
    <mergeCell ref="I68:J68"/>
    <mergeCell ref="E69:F69"/>
    <mergeCell ref="G69:H69"/>
    <mergeCell ref="I69:J69"/>
    <mergeCell ref="D86:K86"/>
    <mergeCell ref="L86:M86"/>
    <mergeCell ref="D74:F74"/>
    <mergeCell ref="D75:F75"/>
    <mergeCell ref="D76:F76"/>
    <mergeCell ref="D77:F77"/>
    <mergeCell ref="I74:K74"/>
    <mergeCell ref="I75:K75"/>
    <mergeCell ref="I76:K76"/>
    <mergeCell ref="E79:H79"/>
    <mergeCell ref="L93:M93"/>
    <mergeCell ref="D95:K95"/>
    <mergeCell ref="L95:M95"/>
    <mergeCell ref="F81:I81"/>
    <mergeCell ref="D82:K82"/>
    <mergeCell ref="L82:M82"/>
    <mergeCell ref="D83:K83"/>
    <mergeCell ref="D84:K84"/>
    <mergeCell ref="L83:M83"/>
    <mergeCell ref="L84:M84"/>
    <mergeCell ref="D88:K88"/>
    <mergeCell ref="L88:M88"/>
    <mergeCell ref="D90:K90"/>
    <mergeCell ref="L90:M90"/>
    <mergeCell ref="D92:K92"/>
    <mergeCell ref="L92:M92"/>
    <mergeCell ref="L114:M114"/>
    <mergeCell ref="L96:M96"/>
    <mergeCell ref="D98:K98"/>
    <mergeCell ref="D99:K99"/>
    <mergeCell ref="L98:M98"/>
    <mergeCell ref="D101:K101"/>
    <mergeCell ref="D102:K102"/>
    <mergeCell ref="L101:M101"/>
    <mergeCell ref="D104:K104"/>
    <mergeCell ref="L104:M104"/>
    <mergeCell ref="L124:M124"/>
    <mergeCell ref="D106:K106"/>
    <mergeCell ref="L106:M106"/>
    <mergeCell ref="D108:K108"/>
    <mergeCell ref="L108:M108"/>
    <mergeCell ref="D110:K110"/>
    <mergeCell ref="L110:M110"/>
    <mergeCell ref="D112:K112"/>
    <mergeCell ref="L112:M112"/>
    <mergeCell ref="D114:K114"/>
    <mergeCell ref="L132:M132"/>
    <mergeCell ref="D116:K116"/>
    <mergeCell ref="L116:M116"/>
    <mergeCell ref="D118:K118"/>
    <mergeCell ref="L118:M118"/>
    <mergeCell ref="L119:M119"/>
    <mergeCell ref="D121:K121"/>
    <mergeCell ref="L121:M121"/>
    <mergeCell ref="L122:M122"/>
    <mergeCell ref="D124:K124"/>
    <mergeCell ref="D140:K140"/>
    <mergeCell ref="L140:M140"/>
    <mergeCell ref="D126:K126"/>
    <mergeCell ref="L126:M126"/>
    <mergeCell ref="D128:K128"/>
    <mergeCell ref="L128:M128"/>
    <mergeCell ref="D130:K130"/>
    <mergeCell ref="D131:K131"/>
    <mergeCell ref="L130:M130"/>
    <mergeCell ref="L131:M131"/>
    <mergeCell ref="D134:K134"/>
    <mergeCell ref="L134:M134"/>
    <mergeCell ref="L135:M135"/>
    <mergeCell ref="D137:K137"/>
    <mergeCell ref="D138:K138"/>
    <mergeCell ref="L137:M137"/>
    <mergeCell ref="L138:M138"/>
    <mergeCell ref="D159:K159"/>
    <mergeCell ref="L141:M141"/>
    <mergeCell ref="D143:K143"/>
    <mergeCell ref="L143:M143"/>
    <mergeCell ref="L144:M144"/>
    <mergeCell ref="D146:K146"/>
    <mergeCell ref="L146:M146"/>
    <mergeCell ref="D148:K148"/>
    <mergeCell ref="D149:K149"/>
    <mergeCell ref="L148:M148"/>
    <mergeCell ref="D167:K167"/>
    <mergeCell ref="L166:M166"/>
    <mergeCell ref="D151:K151"/>
    <mergeCell ref="D152:K152"/>
    <mergeCell ref="L151:M151"/>
    <mergeCell ref="D154:K154"/>
    <mergeCell ref="L154:M154"/>
    <mergeCell ref="D156:K156"/>
    <mergeCell ref="D157:K157"/>
    <mergeCell ref="L156:M156"/>
    <mergeCell ref="D176:K176"/>
    <mergeCell ref="L176:M176"/>
    <mergeCell ref="D160:K160"/>
    <mergeCell ref="L159:M159"/>
    <mergeCell ref="L160:M160"/>
    <mergeCell ref="D162:K162"/>
    <mergeCell ref="L162:M162"/>
    <mergeCell ref="D164:K164"/>
    <mergeCell ref="L164:M164"/>
    <mergeCell ref="D166:K166"/>
    <mergeCell ref="L183:M183"/>
    <mergeCell ref="L184:M184"/>
    <mergeCell ref="L185:M185"/>
    <mergeCell ref="D169:K169"/>
    <mergeCell ref="D170:K170"/>
    <mergeCell ref="L169:M169"/>
    <mergeCell ref="D172:K172"/>
    <mergeCell ref="L172:M172"/>
    <mergeCell ref="D174:K174"/>
    <mergeCell ref="L174:M174"/>
    <mergeCell ref="D195:K195"/>
    <mergeCell ref="L195:M195"/>
    <mergeCell ref="D178:K178"/>
    <mergeCell ref="L178:M178"/>
    <mergeCell ref="D180:K180"/>
    <mergeCell ref="D181:K181"/>
    <mergeCell ref="L180:M180"/>
    <mergeCell ref="D183:K183"/>
    <mergeCell ref="D184:K184"/>
    <mergeCell ref="D185:K185"/>
    <mergeCell ref="L203:M203"/>
    <mergeCell ref="D205:K205"/>
    <mergeCell ref="L186:M186"/>
    <mergeCell ref="L187:M187"/>
    <mergeCell ref="L188:M188"/>
    <mergeCell ref="D190:K190"/>
    <mergeCell ref="L190:M190"/>
    <mergeCell ref="D192:K192"/>
    <mergeCell ref="D193:K193"/>
    <mergeCell ref="L192:M192"/>
    <mergeCell ref="D213:K213"/>
    <mergeCell ref="D214:K214"/>
    <mergeCell ref="L213:M213"/>
    <mergeCell ref="D197:K197"/>
    <mergeCell ref="L197:M197"/>
    <mergeCell ref="D199:K199"/>
    <mergeCell ref="L199:M199"/>
    <mergeCell ref="D201:K201"/>
    <mergeCell ref="L201:M201"/>
    <mergeCell ref="D203:K203"/>
    <mergeCell ref="D222:K222"/>
    <mergeCell ref="D223:K223"/>
    <mergeCell ref="L222:M222"/>
    <mergeCell ref="D206:K206"/>
    <mergeCell ref="L205:M205"/>
    <mergeCell ref="D208:K208"/>
    <mergeCell ref="D209:K209"/>
    <mergeCell ref="L208:M208"/>
    <mergeCell ref="D211:K211"/>
    <mergeCell ref="L211:M211"/>
    <mergeCell ref="D216:K216"/>
    <mergeCell ref="D217:K217"/>
    <mergeCell ref="L216:M216"/>
    <mergeCell ref="D219:K219"/>
    <mergeCell ref="D220:K220"/>
    <mergeCell ref="L219:M219"/>
    <mergeCell ref="C236:E236"/>
    <mergeCell ref="G236:I236"/>
    <mergeCell ref="K236:M236"/>
    <mergeCell ref="C237:E237"/>
    <mergeCell ref="G237:I237"/>
    <mergeCell ref="K237:M237"/>
  </mergeCells>
  <pageMargins left="0.2" right="0.2" top="0.47499999999999998" bottom="0.1" header="0.3" footer="0.3"/>
  <pageSetup paperSize="9" scale="48" orientation="portrait" r:id="rId1"/>
  <headerFooter>
    <oddHeader>&amp;R&amp;"Arial,Bold"&amp;14 QF-LDC-08(Sheet-1)
page &amp;P of 3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7CCB-4FE5-4C11-9B16-299D9C1661EA}">
  <dimension ref="A1:J183"/>
  <sheetViews>
    <sheetView zoomScale="115" zoomScaleNormal="115" zoomScaleSheetLayoutView="85" workbookViewId="0">
      <pane ySplit="10" topLeftCell="A11" activePane="bottomLeft" state="frozen"/>
      <selection pane="bottomLeft" activeCell="E181" sqref="E181"/>
    </sheetView>
  </sheetViews>
  <sheetFormatPr defaultRowHeight="15" x14ac:dyDescent="0.25"/>
  <cols>
    <col min="1" max="1" width="2.85546875" style="31" customWidth="1"/>
    <col min="2" max="2" width="8.140625" style="31" customWidth="1"/>
    <col min="3" max="3" width="19.5703125" style="31" customWidth="1"/>
    <col min="4" max="4" width="36.28515625" style="31" customWidth="1"/>
    <col min="5" max="5" width="22.42578125" style="31" customWidth="1"/>
    <col min="6" max="6" width="23.5703125" style="31" customWidth="1"/>
    <col min="7" max="7" width="12.7109375" style="31" customWidth="1"/>
    <col min="8" max="8" width="16.85546875" style="31" customWidth="1"/>
    <col min="9" max="9" width="21.140625" style="31" customWidth="1"/>
    <col min="10" max="10" width="56.5703125" style="31" customWidth="1"/>
    <col min="11" max="11" width="7.7109375" style="31" customWidth="1"/>
    <col min="12" max="16384" width="9.140625" style="31"/>
  </cols>
  <sheetData>
    <row r="1" spans="1:10" ht="21" customHeight="1" x14ac:dyDescent="0.25">
      <c r="A1" s="13"/>
      <c r="B1" s="62"/>
      <c r="C1" s="63"/>
      <c r="D1" s="63"/>
      <c r="E1" s="63"/>
      <c r="F1" s="63"/>
      <c r="G1" s="63"/>
      <c r="H1" s="63"/>
      <c r="I1" s="63"/>
      <c r="J1" s="63"/>
    </row>
    <row r="2" spans="1:10" ht="26.25" customHeight="1" x14ac:dyDescent="0.25">
      <c r="A2" s="13"/>
      <c r="B2" s="179"/>
      <c r="C2" s="63"/>
      <c r="D2" s="180" t="s">
        <v>0</v>
      </c>
      <c r="E2" s="63"/>
      <c r="F2" s="63"/>
      <c r="G2" s="63"/>
      <c r="H2" s="63"/>
      <c r="I2" s="63"/>
      <c r="J2" s="2"/>
    </row>
    <row r="3" spans="1:10" ht="20.25" customHeight="1" x14ac:dyDescent="0.25">
      <c r="A3" s="13"/>
      <c r="B3" s="63"/>
      <c r="C3" s="63"/>
      <c r="D3" s="179" t="s">
        <v>1</v>
      </c>
      <c r="E3" s="63"/>
      <c r="F3" s="63"/>
      <c r="G3" s="63"/>
      <c r="H3" s="63"/>
      <c r="I3" s="63"/>
      <c r="J3" s="2"/>
    </row>
    <row r="4" spans="1:10" ht="20.25" customHeight="1" x14ac:dyDescent="0.25">
      <c r="A4" s="13"/>
      <c r="B4" s="63"/>
      <c r="C4" s="63"/>
      <c r="D4" s="179" t="s">
        <v>923</v>
      </c>
      <c r="E4" s="63"/>
      <c r="F4" s="63"/>
      <c r="G4" s="63"/>
      <c r="H4" s="63"/>
      <c r="I4" s="63"/>
      <c r="J4" s="2"/>
    </row>
    <row r="5" spans="1:10" ht="20.25" customHeight="1" x14ac:dyDescent="0.25">
      <c r="A5" s="13"/>
      <c r="B5" s="63"/>
      <c r="C5" s="63"/>
      <c r="D5" s="3"/>
      <c r="E5" s="3"/>
      <c r="F5" s="3"/>
      <c r="G5" s="3"/>
      <c r="H5" s="3"/>
      <c r="I5" s="3"/>
    </row>
    <row r="6" spans="1:10" ht="18.75" customHeight="1" thickBot="1" x14ac:dyDescent="0.3">
      <c r="A6" s="13"/>
      <c r="B6" s="4"/>
      <c r="C6" s="7" t="s">
        <v>3</v>
      </c>
      <c r="D6" s="33" t="s">
        <v>15</v>
      </c>
      <c r="E6" s="177"/>
      <c r="F6" s="200"/>
      <c r="G6" s="200"/>
      <c r="H6" s="200"/>
      <c r="I6" s="200"/>
      <c r="J6" s="5"/>
    </row>
    <row r="7" spans="1:10" ht="15" customHeight="1" thickBot="1" x14ac:dyDescent="0.3">
      <c r="A7" s="13"/>
      <c r="B7" s="199" t="s">
        <v>5</v>
      </c>
      <c r="C7" s="198" t="s">
        <v>922</v>
      </c>
      <c r="D7" s="77"/>
      <c r="E7" s="198" t="s">
        <v>8</v>
      </c>
      <c r="F7" s="198" t="s">
        <v>9</v>
      </c>
      <c r="G7" s="197" t="s">
        <v>10</v>
      </c>
      <c r="H7" s="197" t="s">
        <v>921</v>
      </c>
      <c r="I7" s="197" t="s">
        <v>920</v>
      </c>
      <c r="J7" s="195" t="s">
        <v>14</v>
      </c>
    </row>
    <row r="8" spans="1:10" x14ac:dyDescent="0.25">
      <c r="A8" s="13"/>
      <c r="B8" s="66"/>
      <c r="C8" s="73"/>
      <c r="D8" s="78"/>
      <c r="E8" s="66"/>
      <c r="F8" s="66"/>
      <c r="G8" s="66"/>
      <c r="H8" s="66"/>
      <c r="I8" s="66"/>
      <c r="J8" s="66"/>
    </row>
    <row r="9" spans="1:10" ht="15.75" customHeight="1" thickBot="1" x14ac:dyDescent="0.3">
      <c r="A9" s="13"/>
      <c r="B9" s="66"/>
      <c r="C9" s="73"/>
      <c r="D9" s="78"/>
      <c r="E9" s="66"/>
      <c r="F9" s="66"/>
      <c r="G9" s="196"/>
      <c r="H9" s="196"/>
      <c r="I9" s="196"/>
      <c r="J9" s="196"/>
    </row>
    <row r="10" spans="1:10" ht="18.75" customHeight="1" thickBot="1" x14ac:dyDescent="0.3">
      <c r="A10" s="13"/>
      <c r="B10" s="193"/>
      <c r="C10" s="195"/>
      <c r="D10" s="61"/>
      <c r="E10" s="193"/>
      <c r="F10" s="193" t="s">
        <v>19</v>
      </c>
      <c r="G10" s="194" t="s">
        <v>20</v>
      </c>
      <c r="H10" s="193" t="s">
        <v>20</v>
      </c>
      <c r="I10" s="193" t="s">
        <v>919</v>
      </c>
      <c r="J10" s="192"/>
    </row>
    <row r="11" spans="1:10" ht="15" customHeight="1" thickBot="1" x14ac:dyDescent="0.3">
      <c r="A11" s="191"/>
      <c r="B11" s="189" t="s">
        <v>21</v>
      </c>
      <c r="C11" s="190" t="s">
        <v>22</v>
      </c>
      <c r="D11" s="186"/>
      <c r="E11" s="189" t="s">
        <v>24</v>
      </c>
      <c r="F11" s="189" t="s">
        <v>25</v>
      </c>
      <c r="G11" s="189">
        <v>260</v>
      </c>
      <c r="H11" s="189">
        <v>0</v>
      </c>
      <c r="I11" s="189">
        <v>0</v>
      </c>
      <c r="J11" s="189" t="s">
        <v>26</v>
      </c>
    </row>
    <row r="12" spans="1:10" ht="15" customHeight="1" thickBot="1" x14ac:dyDescent="0.3">
      <c r="B12" s="189" t="s">
        <v>27</v>
      </c>
      <c r="C12" s="190" t="s">
        <v>28</v>
      </c>
      <c r="D12" s="186"/>
      <c r="E12" s="189" t="s">
        <v>24</v>
      </c>
      <c r="F12" s="189" t="s">
        <v>29</v>
      </c>
      <c r="G12" s="189">
        <v>240</v>
      </c>
      <c r="H12" s="189">
        <v>0</v>
      </c>
      <c r="I12" s="189">
        <v>0</v>
      </c>
      <c r="J12" s="189" t="s">
        <v>30</v>
      </c>
    </row>
    <row r="13" spans="1:10" ht="18.75" thickBot="1" x14ac:dyDescent="0.3">
      <c r="B13" s="189"/>
      <c r="C13" s="190" t="s">
        <v>31</v>
      </c>
      <c r="D13" s="186"/>
      <c r="E13" s="189" t="s">
        <v>24</v>
      </c>
      <c r="F13" s="189" t="s">
        <v>29</v>
      </c>
      <c r="G13" s="189">
        <v>174.8</v>
      </c>
      <c r="H13" s="189">
        <v>0</v>
      </c>
      <c r="I13" s="189">
        <v>0</v>
      </c>
      <c r="J13" s="189" t="s">
        <v>30</v>
      </c>
    </row>
    <row r="14" spans="1:10" ht="18.75" thickBot="1" x14ac:dyDescent="0.3">
      <c r="B14" s="189" t="s">
        <v>32</v>
      </c>
      <c r="C14" s="190" t="s">
        <v>33</v>
      </c>
      <c r="D14" s="186"/>
      <c r="E14" s="189" t="s">
        <v>24</v>
      </c>
      <c r="F14" s="189" t="s">
        <v>34</v>
      </c>
      <c r="G14" s="189">
        <v>365</v>
      </c>
      <c r="H14" s="189">
        <v>0</v>
      </c>
      <c r="I14" s="189">
        <v>0</v>
      </c>
      <c r="J14" s="189" t="s">
        <v>35</v>
      </c>
    </row>
    <row r="15" spans="1:10" ht="18.75" thickBot="1" x14ac:dyDescent="0.3">
      <c r="B15" s="189" t="s">
        <v>36</v>
      </c>
      <c r="C15" s="190" t="s">
        <v>37</v>
      </c>
      <c r="D15" s="186"/>
      <c r="E15" s="189" t="s">
        <v>38</v>
      </c>
      <c r="F15" s="189" t="s">
        <v>39</v>
      </c>
      <c r="G15" s="189">
        <v>97.7</v>
      </c>
      <c r="H15" s="189">
        <v>0</v>
      </c>
      <c r="I15" s="189">
        <v>0</v>
      </c>
      <c r="J15" s="189" t="s">
        <v>40</v>
      </c>
    </row>
    <row r="16" spans="1:10" ht="18.75" thickBot="1" x14ac:dyDescent="0.3">
      <c r="B16" s="189" t="s">
        <v>41</v>
      </c>
      <c r="C16" s="190" t="s">
        <v>42</v>
      </c>
      <c r="D16" s="186"/>
      <c r="E16" s="189" t="s">
        <v>43</v>
      </c>
      <c r="F16" s="189" t="s">
        <v>44</v>
      </c>
      <c r="G16" s="189">
        <v>40</v>
      </c>
      <c r="H16" s="189">
        <v>0</v>
      </c>
      <c r="I16" s="189">
        <v>0</v>
      </c>
      <c r="J16" s="189" t="s">
        <v>45</v>
      </c>
    </row>
    <row r="17" spans="2:10" ht="18.75" thickBot="1" x14ac:dyDescent="0.3">
      <c r="B17" s="189" t="s">
        <v>46</v>
      </c>
      <c r="C17" s="190" t="s">
        <v>47</v>
      </c>
      <c r="D17" s="186"/>
      <c r="E17" s="189" t="s">
        <v>48</v>
      </c>
      <c r="F17" s="189" t="s">
        <v>49</v>
      </c>
      <c r="G17" s="189">
        <v>400.75</v>
      </c>
      <c r="H17" s="189">
        <v>341</v>
      </c>
      <c r="I17" s="189">
        <v>8521200</v>
      </c>
      <c r="J17" s="189" t="s">
        <v>45</v>
      </c>
    </row>
    <row r="18" spans="2:10" ht="18.75" thickBot="1" x14ac:dyDescent="0.3">
      <c r="B18" s="189"/>
      <c r="C18" s="190" t="s">
        <v>50</v>
      </c>
      <c r="D18" s="186"/>
      <c r="E18" s="189" t="s">
        <v>38</v>
      </c>
      <c r="F18" s="189" t="s">
        <v>51</v>
      </c>
      <c r="G18" s="189">
        <v>0</v>
      </c>
      <c r="H18" s="189">
        <v>0</v>
      </c>
      <c r="I18" s="189">
        <v>0</v>
      </c>
      <c r="J18" s="189" t="s">
        <v>52</v>
      </c>
    </row>
    <row r="19" spans="2:10" ht="18.75" thickBot="1" x14ac:dyDescent="0.3">
      <c r="B19" s="189" t="s">
        <v>53</v>
      </c>
      <c r="C19" s="190" t="s">
        <v>54</v>
      </c>
      <c r="D19" s="186"/>
      <c r="E19" s="189" t="s">
        <v>38</v>
      </c>
      <c r="F19" s="189" t="s">
        <v>55</v>
      </c>
      <c r="G19" s="189">
        <v>450</v>
      </c>
      <c r="H19" s="189">
        <v>300</v>
      </c>
      <c r="I19" s="189">
        <v>7661500</v>
      </c>
      <c r="J19" s="189" t="s">
        <v>45</v>
      </c>
    </row>
    <row r="20" spans="2:10" ht="18.75" thickBot="1" x14ac:dyDescent="0.3">
      <c r="B20" s="189" t="s">
        <v>56</v>
      </c>
      <c r="C20" s="190" t="s">
        <v>57</v>
      </c>
      <c r="D20" s="186"/>
      <c r="E20" s="189" t="s">
        <v>38</v>
      </c>
      <c r="F20" s="189" t="s">
        <v>58</v>
      </c>
      <c r="G20" s="189">
        <v>335</v>
      </c>
      <c r="H20" s="189">
        <v>290</v>
      </c>
      <c r="I20" s="189">
        <v>6759156</v>
      </c>
      <c r="J20" s="189" t="s">
        <v>59</v>
      </c>
    </row>
    <row r="21" spans="2:10" ht="18.75" thickBot="1" x14ac:dyDescent="0.3">
      <c r="B21" s="189" t="s">
        <v>60</v>
      </c>
      <c r="C21" s="190" t="s">
        <v>61</v>
      </c>
      <c r="D21" s="186"/>
      <c r="E21" s="189" t="s">
        <v>38</v>
      </c>
      <c r="F21" s="189" t="s">
        <v>63</v>
      </c>
      <c r="G21" s="189">
        <v>55</v>
      </c>
      <c r="H21" s="189">
        <v>0</v>
      </c>
      <c r="I21" s="189">
        <v>780632</v>
      </c>
      <c r="J21" s="189" t="s">
        <v>45</v>
      </c>
    </row>
    <row r="22" spans="2:10" ht="18.75" thickBot="1" x14ac:dyDescent="0.3">
      <c r="B22" s="189" t="s">
        <v>64</v>
      </c>
      <c r="C22" s="190" t="s">
        <v>65</v>
      </c>
      <c r="D22" s="186"/>
      <c r="E22" s="189" t="s">
        <v>66</v>
      </c>
      <c r="F22" s="189" t="s">
        <v>67</v>
      </c>
      <c r="G22" s="189">
        <v>75.239999999999995</v>
      </c>
      <c r="H22" s="189">
        <v>0</v>
      </c>
      <c r="I22" s="189">
        <v>0</v>
      </c>
      <c r="J22" s="189" t="s">
        <v>52</v>
      </c>
    </row>
    <row r="23" spans="2:10" ht="18.75" thickBot="1" x14ac:dyDescent="0.3">
      <c r="B23" s="189" t="s">
        <v>68</v>
      </c>
      <c r="C23" s="190" t="s">
        <v>69</v>
      </c>
      <c r="D23" s="186"/>
      <c r="E23" s="189" t="s">
        <v>70</v>
      </c>
      <c r="F23" s="189" t="s">
        <v>71</v>
      </c>
      <c r="G23" s="189">
        <v>22</v>
      </c>
      <c r="H23" s="189">
        <v>0</v>
      </c>
      <c r="I23" s="189">
        <v>0</v>
      </c>
      <c r="J23" s="189" t="s">
        <v>52</v>
      </c>
    </row>
    <row r="24" spans="2:10" ht="18.75" thickBot="1" x14ac:dyDescent="0.3">
      <c r="B24" s="189" t="s">
        <v>72</v>
      </c>
      <c r="C24" s="190" t="s">
        <v>73</v>
      </c>
      <c r="D24" s="186"/>
      <c r="E24" s="189" t="s">
        <v>24</v>
      </c>
      <c r="F24" s="189" t="s">
        <v>29</v>
      </c>
      <c r="G24" s="189">
        <v>93</v>
      </c>
      <c r="H24" s="189">
        <v>0</v>
      </c>
      <c r="I24" s="189">
        <v>0</v>
      </c>
      <c r="J24" s="189" t="s">
        <v>74</v>
      </c>
    </row>
    <row r="25" spans="2:10" ht="18.75" thickBot="1" x14ac:dyDescent="0.3">
      <c r="B25" s="189" t="s">
        <v>75</v>
      </c>
      <c r="C25" s="190" t="s">
        <v>76</v>
      </c>
      <c r="D25" s="186"/>
      <c r="E25" s="189" t="s">
        <v>48</v>
      </c>
      <c r="F25" s="189" t="s">
        <v>77</v>
      </c>
      <c r="G25" s="189">
        <v>210</v>
      </c>
      <c r="H25" s="189">
        <v>0</v>
      </c>
      <c r="I25" s="189">
        <v>0</v>
      </c>
      <c r="J25" s="189" t="s">
        <v>78</v>
      </c>
    </row>
    <row r="26" spans="2:10" ht="18.75" thickBot="1" x14ac:dyDescent="0.3">
      <c r="B26" s="189" t="s">
        <v>79</v>
      </c>
      <c r="C26" s="190" t="s">
        <v>80</v>
      </c>
      <c r="D26" s="186"/>
      <c r="E26" s="189" t="s">
        <v>48</v>
      </c>
      <c r="F26" s="189" t="s">
        <v>81</v>
      </c>
      <c r="G26" s="189">
        <v>335</v>
      </c>
      <c r="H26" s="189">
        <v>268</v>
      </c>
      <c r="I26" s="189">
        <v>6278166</v>
      </c>
      <c r="J26" s="189" t="s">
        <v>45</v>
      </c>
    </row>
    <row r="27" spans="2:10" ht="18.75" thickBot="1" x14ac:dyDescent="0.3">
      <c r="B27" s="189" t="s">
        <v>82</v>
      </c>
      <c r="C27" s="190" t="s">
        <v>83</v>
      </c>
      <c r="D27" s="186"/>
      <c r="E27" s="189" t="s">
        <v>38</v>
      </c>
      <c r="F27" s="189" t="s">
        <v>84</v>
      </c>
      <c r="G27" s="189">
        <v>102</v>
      </c>
      <c r="H27" s="189">
        <v>0</v>
      </c>
      <c r="I27" s="189">
        <v>226080</v>
      </c>
      <c r="J27" s="189" t="s">
        <v>85</v>
      </c>
    </row>
    <row r="28" spans="2:10" ht="18.75" thickBot="1" x14ac:dyDescent="0.3">
      <c r="B28" s="189" t="s">
        <v>86</v>
      </c>
      <c r="C28" s="190" t="s">
        <v>87</v>
      </c>
      <c r="D28" s="186"/>
      <c r="E28" s="189" t="s">
        <v>38</v>
      </c>
      <c r="F28" s="189" t="s">
        <v>88</v>
      </c>
      <c r="G28" s="189">
        <v>53.97</v>
      </c>
      <c r="H28" s="189">
        <v>54</v>
      </c>
      <c r="I28" s="189">
        <v>582840</v>
      </c>
      <c r="J28" s="189" t="s">
        <v>45</v>
      </c>
    </row>
    <row r="29" spans="2:10" ht="18.75" thickBot="1" x14ac:dyDescent="0.3">
      <c r="B29" s="189" t="s">
        <v>89</v>
      </c>
      <c r="C29" s="190" t="s">
        <v>90</v>
      </c>
      <c r="D29" s="186"/>
      <c r="E29" s="189" t="s">
        <v>91</v>
      </c>
      <c r="F29" s="189" t="s">
        <v>92</v>
      </c>
      <c r="G29" s="189">
        <v>149.36000000000001</v>
      </c>
      <c r="H29" s="189">
        <v>147</v>
      </c>
      <c r="I29" s="189">
        <v>2218560</v>
      </c>
      <c r="J29" s="189" t="s">
        <v>45</v>
      </c>
    </row>
    <row r="30" spans="2:10" ht="18.75" thickBot="1" x14ac:dyDescent="0.3">
      <c r="B30" s="189" t="s">
        <v>89</v>
      </c>
      <c r="C30" s="190" t="s">
        <v>93</v>
      </c>
      <c r="D30" s="186"/>
      <c r="E30" s="189" t="s">
        <v>38</v>
      </c>
      <c r="F30" s="189" t="s">
        <v>94</v>
      </c>
      <c r="G30" s="189">
        <v>55</v>
      </c>
      <c r="H30" s="189">
        <v>35</v>
      </c>
      <c r="I30" s="189">
        <v>593369</v>
      </c>
      <c r="J30" s="189" t="s">
        <v>45</v>
      </c>
    </row>
    <row r="31" spans="2:10" ht="18.75" thickBot="1" x14ac:dyDescent="0.3">
      <c r="B31" s="189" t="s">
        <v>95</v>
      </c>
      <c r="C31" s="190" t="s">
        <v>96</v>
      </c>
      <c r="D31" s="186"/>
      <c r="E31" s="189" t="s">
        <v>38</v>
      </c>
      <c r="F31" s="189" t="s">
        <v>94</v>
      </c>
      <c r="G31" s="189">
        <v>55</v>
      </c>
      <c r="H31" s="189">
        <v>35</v>
      </c>
      <c r="I31" s="189">
        <v>600325</v>
      </c>
      <c r="J31" s="189" t="s">
        <v>45</v>
      </c>
    </row>
    <row r="32" spans="2:10" ht="18.75" thickBot="1" x14ac:dyDescent="0.3">
      <c r="B32" s="189" t="s">
        <v>97</v>
      </c>
      <c r="C32" s="190" t="s">
        <v>98</v>
      </c>
      <c r="D32" s="186"/>
      <c r="E32" s="189" t="s">
        <v>38</v>
      </c>
      <c r="F32" s="189" t="s">
        <v>913</v>
      </c>
      <c r="G32" s="189">
        <v>33.75</v>
      </c>
      <c r="H32" s="189">
        <v>17.5</v>
      </c>
      <c r="I32" s="189">
        <v>379200</v>
      </c>
      <c r="J32" s="189" t="s">
        <v>99</v>
      </c>
    </row>
    <row r="33" spans="2:10" ht="18.75" thickBot="1" x14ac:dyDescent="0.3">
      <c r="B33" s="189" t="s">
        <v>97</v>
      </c>
      <c r="C33" s="190" t="s">
        <v>100</v>
      </c>
      <c r="D33" s="186"/>
      <c r="E33" s="189" t="s">
        <v>38</v>
      </c>
      <c r="F33" s="189" t="s">
        <v>101</v>
      </c>
      <c r="G33" s="189">
        <v>23</v>
      </c>
      <c r="H33" s="189">
        <v>21</v>
      </c>
      <c r="I33" s="189">
        <v>498240</v>
      </c>
      <c r="J33" s="189" t="s">
        <v>45</v>
      </c>
    </row>
    <row r="34" spans="2:10" ht="18.75" thickBot="1" x14ac:dyDescent="0.3">
      <c r="B34" s="189" t="s">
        <v>102</v>
      </c>
      <c r="C34" s="190" t="s">
        <v>103</v>
      </c>
      <c r="D34" s="186"/>
      <c r="E34" s="189" t="s">
        <v>38</v>
      </c>
      <c r="F34" s="189" t="s">
        <v>104</v>
      </c>
      <c r="G34" s="189">
        <v>33</v>
      </c>
      <c r="H34" s="189">
        <v>0</v>
      </c>
      <c r="I34" s="189">
        <v>0</v>
      </c>
      <c r="J34" s="189" t="s">
        <v>45</v>
      </c>
    </row>
    <row r="35" spans="2:10" ht="18.75" thickBot="1" x14ac:dyDescent="0.3">
      <c r="B35" s="189" t="s">
        <v>105</v>
      </c>
      <c r="C35" s="190" t="s">
        <v>106</v>
      </c>
      <c r="D35" s="186"/>
      <c r="E35" s="189" t="s">
        <v>38</v>
      </c>
      <c r="F35" s="189" t="s">
        <v>104</v>
      </c>
      <c r="G35" s="189">
        <v>33</v>
      </c>
      <c r="H35" s="189">
        <v>0</v>
      </c>
      <c r="I35" s="189">
        <v>0</v>
      </c>
      <c r="J35" s="189" t="s">
        <v>45</v>
      </c>
    </row>
    <row r="36" spans="2:10" ht="18.75" thickBot="1" x14ac:dyDescent="0.3">
      <c r="B36" s="189" t="s">
        <v>107</v>
      </c>
      <c r="C36" s="190" t="s">
        <v>108</v>
      </c>
      <c r="D36" s="186"/>
      <c r="E36" s="189" t="s">
        <v>109</v>
      </c>
      <c r="F36" s="189" t="s">
        <v>110</v>
      </c>
      <c r="G36" s="189">
        <v>52.194000000000003</v>
      </c>
      <c r="H36" s="189">
        <v>25</v>
      </c>
      <c r="I36" s="189">
        <v>470880</v>
      </c>
      <c r="J36" s="189" t="s">
        <v>45</v>
      </c>
    </row>
    <row r="37" spans="2:10" ht="18.75" thickBot="1" x14ac:dyDescent="0.3">
      <c r="B37" s="189" t="s">
        <v>111</v>
      </c>
      <c r="C37" s="190" t="s">
        <v>112</v>
      </c>
      <c r="D37" s="186"/>
      <c r="E37" s="189" t="s">
        <v>24</v>
      </c>
      <c r="F37" s="189" t="s">
        <v>113</v>
      </c>
      <c r="G37" s="189">
        <v>105</v>
      </c>
      <c r="H37" s="189">
        <v>0</v>
      </c>
      <c r="I37" s="189">
        <v>0</v>
      </c>
      <c r="J37" s="189" t="s">
        <v>114</v>
      </c>
    </row>
    <row r="38" spans="2:10" ht="18.75" thickBot="1" x14ac:dyDescent="0.3">
      <c r="B38" s="189" t="s">
        <v>115</v>
      </c>
      <c r="C38" s="190" t="s">
        <v>116</v>
      </c>
      <c r="D38" s="186"/>
      <c r="E38" s="189" t="s">
        <v>38</v>
      </c>
      <c r="F38" s="189" t="s">
        <v>117</v>
      </c>
      <c r="G38" s="189">
        <v>300</v>
      </c>
      <c r="H38" s="189">
        <v>15</v>
      </c>
      <c r="I38" s="189">
        <v>3212138</v>
      </c>
      <c r="J38" s="189" t="s">
        <v>45</v>
      </c>
    </row>
    <row r="39" spans="2:10" ht="18.75" thickBot="1" x14ac:dyDescent="0.3">
      <c r="B39" s="189" t="s">
        <v>118</v>
      </c>
      <c r="C39" s="190" t="s">
        <v>119</v>
      </c>
      <c r="D39" s="186"/>
      <c r="E39" s="189" t="s">
        <v>38</v>
      </c>
      <c r="F39" s="189" t="s">
        <v>120</v>
      </c>
      <c r="G39" s="189">
        <v>149</v>
      </c>
      <c r="H39" s="189">
        <v>112</v>
      </c>
      <c r="I39" s="189">
        <v>2626416</v>
      </c>
      <c r="J39" s="189" t="s">
        <v>45</v>
      </c>
    </row>
    <row r="40" spans="2:10" ht="18.75" thickBot="1" x14ac:dyDescent="0.3">
      <c r="B40" s="189" t="s">
        <v>122</v>
      </c>
      <c r="C40" s="190" t="s">
        <v>123</v>
      </c>
      <c r="D40" s="186"/>
      <c r="E40" s="189" t="s">
        <v>109</v>
      </c>
      <c r="F40" s="189" t="s">
        <v>124</v>
      </c>
      <c r="G40" s="189">
        <v>105</v>
      </c>
      <c r="H40" s="189">
        <v>52</v>
      </c>
      <c r="I40" s="189">
        <v>926400</v>
      </c>
      <c r="J40" s="189" t="s">
        <v>125</v>
      </c>
    </row>
    <row r="41" spans="2:10" ht="18.75" thickBot="1" x14ac:dyDescent="0.3">
      <c r="B41" s="189" t="s">
        <v>126</v>
      </c>
      <c r="C41" s="190" t="s">
        <v>127</v>
      </c>
      <c r="D41" s="186"/>
      <c r="E41" s="189" t="s">
        <v>38</v>
      </c>
      <c r="F41" s="189" t="s">
        <v>128</v>
      </c>
      <c r="G41" s="189">
        <v>104</v>
      </c>
      <c r="H41" s="189">
        <v>67</v>
      </c>
      <c r="I41" s="189">
        <v>796800</v>
      </c>
      <c r="J41" s="189" t="s">
        <v>85</v>
      </c>
    </row>
    <row r="42" spans="2:10" ht="18.75" thickBot="1" x14ac:dyDescent="0.3">
      <c r="B42" s="189" t="s">
        <v>129</v>
      </c>
      <c r="C42" s="190" t="s">
        <v>130</v>
      </c>
      <c r="D42" s="186"/>
      <c r="E42" s="189" t="s">
        <v>38</v>
      </c>
      <c r="F42" s="189" t="s">
        <v>131</v>
      </c>
      <c r="G42" s="189">
        <v>162</v>
      </c>
      <c r="H42" s="189">
        <v>90</v>
      </c>
      <c r="I42" s="189">
        <v>1771200</v>
      </c>
      <c r="J42" s="189" t="s">
        <v>45</v>
      </c>
    </row>
    <row r="43" spans="2:10" ht="18.75" thickBot="1" x14ac:dyDescent="0.3">
      <c r="B43" s="189" t="s">
        <v>132</v>
      </c>
      <c r="C43" s="190" t="s">
        <v>133</v>
      </c>
      <c r="D43" s="186"/>
      <c r="E43" s="189" t="s">
        <v>38</v>
      </c>
      <c r="F43" s="189" t="s">
        <v>913</v>
      </c>
      <c r="G43" s="189">
        <v>35</v>
      </c>
      <c r="H43" s="189">
        <v>0</v>
      </c>
      <c r="I43" s="189">
        <v>214565</v>
      </c>
      <c r="J43" s="189" t="s">
        <v>45</v>
      </c>
    </row>
    <row r="44" spans="2:10" ht="18.75" thickBot="1" x14ac:dyDescent="0.3">
      <c r="B44" s="189" t="s">
        <v>135</v>
      </c>
      <c r="C44" s="190" t="s">
        <v>136</v>
      </c>
      <c r="D44" s="186"/>
      <c r="E44" s="189" t="s">
        <v>38</v>
      </c>
      <c r="F44" s="189" t="s">
        <v>137</v>
      </c>
      <c r="G44" s="189">
        <v>55</v>
      </c>
      <c r="H44" s="189">
        <v>17</v>
      </c>
      <c r="I44" s="189">
        <v>403920</v>
      </c>
      <c r="J44" s="189" t="s">
        <v>45</v>
      </c>
    </row>
    <row r="45" spans="2:10" ht="18.75" thickBot="1" x14ac:dyDescent="0.3">
      <c r="B45" s="189" t="s">
        <v>138</v>
      </c>
      <c r="C45" s="190" t="s">
        <v>139</v>
      </c>
      <c r="D45" s="186"/>
      <c r="E45" s="189" t="s">
        <v>38</v>
      </c>
      <c r="F45" s="189" t="s">
        <v>913</v>
      </c>
      <c r="G45" s="189">
        <v>584</v>
      </c>
      <c r="H45" s="189">
        <v>300</v>
      </c>
      <c r="I45" s="189">
        <v>7565454.5499999998</v>
      </c>
      <c r="J45" s="189" t="s">
        <v>30</v>
      </c>
    </row>
    <row r="46" spans="2:10" ht="18.75" thickBot="1" x14ac:dyDescent="0.3">
      <c r="B46" s="189" t="s">
        <v>140</v>
      </c>
      <c r="C46" s="190" t="s">
        <v>141</v>
      </c>
      <c r="D46" s="186"/>
      <c r="E46" s="189" t="s">
        <v>38</v>
      </c>
      <c r="F46" s="189" t="s">
        <v>913</v>
      </c>
      <c r="G46" s="189">
        <v>583</v>
      </c>
      <c r="H46" s="189">
        <v>250</v>
      </c>
      <c r="I46" s="189">
        <v>6127176</v>
      </c>
      <c r="J46" s="189" t="s">
        <v>45</v>
      </c>
    </row>
    <row r="47" spans="2:10" ht="18.75" thickBot="1" x14ac:dyDescent="0.3">
      <c r="B47" s="189"/>
      <c r="C47" s="190" t="s">
        <v>143</v>
      </c>
      <c r="D47" s="186"/>
      <c r="E47" s="189" t="s">
        <v>38</v>
      </c>
      <c r="F47" s="189" t="s">
        <v>144</v>
      </c>
      <c r="G47" s="189">
        <v>0</v>
      </c>
      <c r="H47" s="189">
        <v>0</v>
      </c>
      <c r="I47" s="189">
        <v>0</v>
      </c>
      <c r="J47" s="189" t="s">
        <v>45</v>
      </c>
    </row>
    <row r="48" spans="2:10" ht="18.75" thickBot="1" x14ac:dyDescent="0.3">
      <c r="B48" s="189"/>
      <c r="C48" s="190" t="s">
        <v>145</v>
      </c>
      <c r="D48" s="186"/>
      <c r="E48" s="189" t="s">
        <v>91</v>
      </c>
      <c r="F48" s="189" t="s">
        <v>131</v>
      </c>
      <c r="G48" s="189">
        <v>160</v>
      </c>
      <c r="H48" s="189">
        <v>52</v>
      </c>
      <c r="I48" s="189">
        <v>1497600</v>
      </c>
      <c r="J48" s="189" t="s">
        <v>45</v>
      </c>
    </row>
    <row r="49" spans="2:10" ht="19.5" thickBot="1" x14ac:dyDescent="0.3">
      <c r="B49" s="188" t="s">
        <v>146</v>
      </c>
      <c r="C49" s="187"/>
      <c r="D49" s="187"/>
      <c r="E49" s="187"/>
      <c r="F49" s="186"/>
      <c r="G49" s="185">
        <v>6085.7640000000001</v>
      </c>
      <c r="H49" s="185">
        <v>2488.5</v>
      </c>
      <c r="I49" s="185">
        <v>60711817.549999997</v>
      </c>
      <c r="J49" s="184"/>
    </row>
    <row r="50" spans="2:10" ht="18.75" thickBot="1" x14ac:dyDescent="0.3">
      <c r="B50" s="189" t="s">
        <v>147</v>
      </c>
      <c r="C50" s="190" t="s">
        <v>148</v>
      </c>
      <c r="D50" s="186"/>
      <c r="E50" s="189" t="s">
        <v>24</v>
      </c>
      <c r="F50" s="189" t="s">
        <v>149</v>
      </c>
      <c r="G50" s="189">
        <v>360</v>
      </c>
      <c r="H50" s="189">
        <v>0</v>
      </c>
      <c r="I50" s="189">
        <v>0</v>
      </c>
      <c r="J50" s="189" t="s">
        <v>150</v>
      </c>
    </row>
    <row r="51" spans="2:10" ht="18.75" thickBot="1" x14ac:dyDescent="0.3">
      <c r="B51" s="189" t="s">
        <v>151</v>
      </c>
      <c r="C51" s="190" t="s">
        <v>152</v>
      </c>
      <c r="D51" s="186"/>
      <c r="E51" s="189" t="s">
        <v>38</v>
      </c>
      <c r="F51" s="189" t="s">
        <v>153</v>
      </c>
      <c r="G51" s="189">
        <v>25.5</v>
      </c>
      <c r="H51" s="189">
        <v>8</v>
      </c>
      <c r="I51" s="189">
        <v>294458.40000000002</v>
      </c>
      <c r="J51" s="189" t="s">
        <v>45</v>
      </c>
    </row>
    <row r="52" spans="2:10" ht="18.75" thickBot="1" x14ac:dyDescent="0.3">
      <c r="B52" s="189" t="s">
        <v>154</v>
      </c>
      <c r="C52" s="190" t="s">
        <v>155</v>
      </c>
      <c r="D52" s="186"/>
      <c r="E52" s="189" t="s">
        <v>38</v>
      </c>
      <c r="F52" s="189" t="s">
        <v>913</v>
      </c>
      <c r="G52" s="189">
        <v>20</v>
      </c>
      <c r="H52" s="189">
        <v>0</v>
      </c>
      <c r="I52" s="189">
        <v>129195</v>
      </c>
      <c r="J52" s="189" t="s">
        <v>45</v>
      </c>
    </row>
    <row r="53" spans="2:10" ht="18.75" thickBot="1" x14ac:dyDescent="0.3">
      <c r="B53" s="189" t="s">
        <v>156</v>
      </c>
      <c r="C53" s="190" t="s">
        <v>157</v>
      </c>
      <c r="D53" s="186"/>
      <c r="E53" s="189" t="s">
        <v>38</v>
      </c>
      <c r="F53" s="189" t="s">
        <v>158</v>
      </c>
      <c r="G53" s="189">
        <v>50</v>
      </c>
      <c r="H53" s="189">
        <v>20</v>
      </c>
      <c r="I53" s="189">
        <v>689760</v>
      </c>
      <c r="J53" s="189" t="s">
        <v>45</v>
      </c>
    </row>
    <row r="54" spans="2:10" ht="18.75" thickBot="1" x14ac:dyDescent="0.3">
      <c r="B54" s="189" t="s">
        <v>159</v>
      </c>
      <c r="C54" s="190" t="s">
        <v>160</v>
      </c>
      <c r="D54" s="186"/>
      <c r="E54" s="189" t="s">
        <v>24</v>
      </c>
      <c r="F54" s="189" t="s">
        <v>162</v>
      </c>
      <c r="G54" s="189">
        <v>230</v>
      </c>
      <c r="H54" s="189">
        <v>40</v>
      </c>
      <c r="I54" s="189">
        <v>946500</v>
      </c>
      <c r="J54" s="189" t="s">
        <v>45</v>
      </c>
    </row>
    <row r="55" spans="2:10" ht="18.75" thickBot="1" x14ac:dyDescent="0.3">
      <c r="B55" s="189" t="s">
        <v>163</v>
      </c>
      <c r="C55" s="190" t="s">
        <v>164</v>
      </c>
      <c r="D55" s="186"/>
      <c r="E55" s="189" t="s">
        <v>24</v>
      </c>
      <c r="F55" s="189" t="s">
        <v>165</v>
      </c>
      <c r="G55" s="189">
        <v>225</v>
      </c>
      <c r="H55" s="189">
        <v>148</v>
      </c>
      <c r="I55" s="189">
        <v>3450145</v>
      </c>
      <c r="J55" s="189" t="s">
        <v>45</v>
      </c>
    </row>
    <row r="56" spans="2:10" ht="18.75" thickBot="1" x14ac:dyDescent="0.3">
      <c r="B56" s="189" t="s">
        <v>166</v>
      </c>
      <c r="C56" s="190" t="s">
        <v>167</v>
      </c>
      <c r="D56" s="186"/>
      <c r="E56" s="189" t="s">
        <v>24</v>
      </c>
      <c r="F56" s="189" t="s">
        <v>168</v>
      </c>
      <c r="G56" s="189">
        <v>126.5</v>
      </c>
      <c r="H56" s="189">
        <v>0</v>
      </c>
      <c r="I56" s="189">
        <v>0</v>
      </c>
      <c r="J56" s="189" t="s">
        <v>45</v>
      </c>
    </row>
    <row r="57" spans="2:10" ht="18.75" thickBot="1" x14ac:dyDescent="0.3">
      <c r="B57" s="189" t="s">
        <v>169</v>
      </c>
      <c r="C57" s="190" t="s">
        <v>170</v>
      </c>
      <c r="D57" s="186"/>
      <c r="E57" s="189" t="s">
        <v>38</v>
      </c>
      <c r="F57" s="189" t="s">
        <v>124</v>
      </c>
      <c r="G57" s="189">
        <v>105</v>
      </c>
      <c r="H57" s="189">
        <v>0</v>
      </c>
      <c r="I57" s="189">
        <v>749382</v>
      </c>
      <c r="J57" s="189" t="s">
        <v>918</v>
      </c>
    </row>
    <row r="58" spans="2:10" ht="18.75" thickBot="1" x14ac:dyDescent="0.3">
      <c r="B58" s="189" t="s">
        <v>171</v>
      </c>
      <c r="C58" s="190" t="s">
        <v>172</v>
      </c>
      <c r="D58" s="186"/>
      <c r="E58" s="189" t="s">
        <v>24</v>
      </c>
      <c r="F58" s="189" t="s">
        <v>173</v>
      </c>
      <c r="G58" s="189">
        <v>94</v>
      </c>
      <c r="H58" s="189">
        <v>76</v>
      </c>
      <c r="I58" s="189">
        <v>991392</v>
      </c>
      <c r="J58" s="189" t="s">
        <v>174</v>
      </c>
    </row>
    <row r="59" spans="2:10" ht="18.75" thickBot="1" x14ac:dyDescent="0.3">
      <c r="B59" s="189" t="s">
        <v>175</v>
      </c>
      <c r="C59" s="190" t="s">
        <v>176</v>
      </c>
      <c r="D59" s="186"/>
      <c r="E59" s="189" t="s">
        <v>24</v>
      </c>
      <c r="F59" s="189" t="s">
        <v>177</v>
      </c>
      <c r="G59" s="189">
        <v>98</v>
      </c>
      <c r="H59" s="189">
        <v>100</v>
      </c>
      <c r="I59" s="189">
        <v>1429261</v>
      </c>
      <c r="J59" s="189" t="s">
        <v>45</v>
      </c>
    </row>
    <row r="60" spans="2:10" ht="18.75" thickBot="1" x14ac:dyDescent="0.3">
      <c r="B60" s="189" t="s">
        <v>178</v>
      </c>
      <c r="C60" s="190" t="s">
        <v>179</v>
      </c>
      <c r="D60" s="186"/>
      <c r="E60" s="189" t="s">
        <v>38</v>
      </c>
      <c r="F60" s="189" t="s">
        <v>180</v>
      </c>
      <c r="G60" s="189">
        <v>100</v>
      </c>
      <c r="H60" s="189">
        <v>100</v>
      </c>
      <c r="I60" s="189">
        <v>2243520</v>
      </c>
      <c r="J60" s="189" t="s">
        <v>45</v>
      </c>
    </row>
    <row r="61" spans="2:10" ht="18.75" thickBot="1" x14ac:dyDescent="0.3">
      <c r="B61" s="189"/>
      <c r="C61" s="190" t="s">
        <v>181</v>
      </c>
      <c r="D61" s="186"/>
      <c r="E61" s="189" t="s">
        <v>38</v>
      </c>
      <c r="F61" s="189" t="s">
        <v>182</v>
      </c>
      <c r="G61" s="189">
        <v>42</v>
      </c>
      <c r="H61" s="189">
        <v>8</v>
      </c>
      <c r="I61" s="189">
        <v>277440</v>
      </c>
      <c r="J61" s="189" t="s">
        <v>45</v>
      </c>
    </row>
    <row r="62" spans="2:10" ht="18.75" thickBot="1" x14ac:dyDescent="0.3">
      <c r="B62" s="189" t="s">
        <v>183</v>
      </c>
      <c r="C62" s="190" t="s">
        <v>184</v>
      </c>
      <c r="D62" s="186"/>
      <c r="E62" s="189" t="s">
        <v>38</v>
      </c>
      <c r="F62" s="189" t="s">
        <v>185</v>
      </c>
      <c r="G62" s="189">
        <v>108</v>
      </c>
      <c r="H62" s="189">
        <v>16</v>
      </c>
      <c r="I62" s="189">
        <v>432000</v>
      </c>
      <c r="J62" s="189" t="s">
        <v>45</v>
      </c>
    </row>
    <row r="63" spans="2:10" ht="18.75" thickBot="1" x14ac:dyDescent="0.3">
      <c r="B63" s="189" t="s">
        <v>186</v>
      </c>
      <c r="C63" s="190" t="s">
        <v>187</v>
      </c>
      <c r="D63" s="186"/>
      <c r="E63" s="189" t="s">
        <v>24</v>
      </c>
      <c r="F63" s="189" t="s">
        <v>913</v>
      </c>
      <c r="G63" s="189">
        <v>7</v>
      </c>
      <c r="H63" s="189">
        <v>0</v>
      </c>
      <c r="I63" s="189">
        <v>26926</v>
      </c>
      <c r="J63" s="189" t="s">
        <v>45</v>
      </c>
    </row>
    <row r="64" spans="2:10" ht="18.75" thickBot="1" x14ac:dyDescent="0.3">
      <c r="B64" s="189" t="s">
        <v>188</v>
      </c>
      <c r="C64" s="190" t="s">
        <v>189</v>
      </c>
      <c r="D64" s="186"/>
      <c r="E64" s="189" t="s">
        <v>38</v>
      </c>
      <c r="F64" s="189" t="s">
        <v>190</v>
      </c>
      <c r="G64" s="189">
        <v>300</v>
      </c>
      <c r="H64" s="189">
        <v>0</v>
      </c>
      <c r="I64" s="189">
        <v>474218</v>
      </c>
      <c r="J64" s="189" t="s">
        <v>45</v>
      </c>
    </row>
    <row r="65" spans="2:10" ht="18.75" thickBot="1" x14ac:dyDescent="0.3">
      <c r="B65" s="189" t="s">
        <v>191</v>
      </c>
      <c r="C65" s="190" t="s">
        <v>192</v>
      </c>
      <c r="D65" s="186"/>
      <c r="E65" s="189" t="s">
        <v>38</v>
      </c>
      <c r="F65" s="189" t="s">
        <v>193</v>
      </c>
      <c r="G65" s="189">
        <v>54.36</v>
      </c>
      <c r="H65" s="189">
        <v>0</v>
      </c>
      <c r="I65" s="189">
        <v>195504</v>
      </c>
      <c r="J65" s="189" t="s">
        <v>45</v>
      </c>
    </row>
    <row r="66" spans="2:10" ht="18.75" thickBot="1" x14ac:dyDescent="0.3">
      <c r="B66" s="189" t="s">
        <v>194</v>
      </c>
      <c r="C66" s="190" t="s">
        <v>195</v>
      </c>
      <c r="D66" s="186"/>
      <c r="E66" s="189" t="s">
        <v>38</v>
      </c>
      <c r="F66" s="189" t="s">
        <v>196</v>
      </c>
      <c r="G66" s="189">
        <v>110</v>
      </c>
      <c r="H66" s="189">
        <v>0</v>
      </c>
      <c r="I66" s="189">
        <v>878182</v>
      </c>
      <c r="J66" s="189" t="s">
        <v>45</v>
      </c>
    </row>
    <row r="67" spans="2:10" ht="18.75" thickBot="1" x14ac:dyDescent="0.3">
      <c r="B67" s="189" t="s">
        <v>197</v>
      </c>
      <c r="C67" s="190" t="s">
        <v>198</v>
      </c>
      <c r="D67" s="186"/>
      <c r="E67" s="189" t="s">
        <v>38</v>
      </c>
      <c r="F67" s="189" t="s">
        <v>199</v>
      </c>
      <c r="G67" s="189">
        <v>100</v>
      </c>
      <c r="H67" s="189">
        <v>36</v>
      </c>
      <c r="I67" s="189">
        <v>1632000</v>
      </c>
      <c r="J67" s="189" t="s">
        <v>45</v>
      </c>
    </row>
    <row r="68" spans="2:10" ht="18.75" thickBot="1" x14ac:dyDescent="0.3">
      <c r="B68" s="189" t="s">
        <v>200</v>
      </c>
      <c r="C68" s="190" t="s">
        <v>201</v>
      </c>
      <c r="D68" s="186"/>
      <c r="E68" s="189" t="s">
        <v>38</v>
      </c>
      <c r="F68" s="189" t="s">
        <v>202</v>
      </c>
      <c r="G68" s="189">
        <v>116</v>
      </c>
      <c r="H68" s="189">
        <v>0</v>
      </c>
      <c r="I68" s="189">
        <v>489273</v>
      </c>
      <c r="J68" s="189" t="s">
        <v>45</v>
      </c>
    </row>
    <row r="69" spans="2:10" ht="18.75" thickBot="1" x14ac:dyDescent="0.3">
      <c r="B69" s="189" t="s">
        <v>203</v>
      </c>
      <c r="C69" s="190" t="s">
        <v>204</v>
      </c>
      <c r="D69" s="186"/>
      <c r="E69" s="189" t="s">
        <v>38</v>
      </c>
      <c r="F69" s="189" t="s">
        <v>206</v>
      </c>
      <c r="G69" s="189">
        <v>159.86000000000001</v>
      </c>
      <c r="H69" s="189">
        <v>0</v>
      </c>
      <c r="I69" s="189">
        <v>1134109</v>
      </c>
      <c r="J69" s="189" t="s">
        <v>45</v>
      </c>
    </row>
    <row r="70" spans="2:10" ht="18.75" thickBot="1" x14ac:dyDescent="0.3">
      <c r="B70" s="189" t="s">
        <v>207</v>
      </c>
      <c r="C70" s="190" t="s">
        <v>208</v>
      </c>
      <c r="D70" s="186"/>
      <c r="E70" s="189" t="s">
        <v>38</v>
      </c>
      <c r="F70" s="189" t="s">
        <v>210</v>
      </c>
      <c r="G70" s="189">
        <v>1224</v>
      </c>
      <c r="H70" s="189">
        <v>1224</v>
      </c>
      <c r="I70" s="189">
        <v>27654543</v>
      </c>
      <c r="J70" s="189" t="s">
        <v>45</v>
      </c>
    </row>
    <row r="71" spans="2:10" ht="18.75" thickBot="1" x14ac:dyDescent="0.3">
      <c r="B71" s="189" t="s">
        <v>211</v>
      </c>
      <c r="C71" s="190" t="s">
        <v>212</v>
      </c>
      <c r="D71" s="186"/>
      <c r="E71" s="189" t="s">
        <v>24</v>
      </c>
      <c r="F71" s="189" t="s">
        <v>214</v>
      </c>
      <c r="G71" s="189">
        <v>60</v>
      </c>
      <c r="H71" s="189">
        <v>0</v>
      </c>
      <c r="I71" s="189">
        <v>53280</v>
      </c>
      <c r="J71" s="189" t="s">
        <v>45</v>
      </c>
    </row>
    <row r="72" spans="2:10" ht="18.75" thickBot="1" x14ac:dyDescent="0.3">
      <c r="B72" s="189" t="s">
        <v>215</v>
      </c>
      <c r="C72" s="190" t="s">
        <v>216</v>
      </c>
      <c r="D72" s="186"/>
      <c r="E72" s="189" t="s">
        <v>217</v>
      </c>
      <c r="F72" s="189" t="s">
        <v>218</v>
      </c>
      <c r="G72" s="189">
        <v>1200</v>
      </c>
      <c r="H72" s="189">
        <v>557</v>
      </c>
      <c r="I72" s="189">
        <v>12443636.359999999</v>
      </c>
      <c r="J72" s="189" t="s">
        <v>219</v>
      </c>
    </row>
    <row r="73" spans="2:10" ht="19.5" thickBot="1" x14ac:dyDescent="0.3">
      <c r="B73" s="188" t="s">
        <v>220</v>
      </c>
      <c r="C73" s="187"/>
      <c r="D73" s="187"/>
      <c r="E73" s="187"/>
      <c r="F73" s="186"/>
      <c r="G73" s="185">
        <v>4915.22</v>
      </c>
      <c r="H73" s="185">
        <v>2333</v>
      </c>
      <c r="I73" s="185">
        <v>56614724.759999998</v>
      </c>
      <c r="J73" s="184"/>
    </row>
    <row r="74" spans="2:10" ht="18.75" thickBot="1" x14ac:dyDescent="0.3">
      <c r="B74" s="189" t="s">
        <v>221</v>
      </c>
      <c r="C74" s="190" t="s">
        <v>222</v>
      </c>
      <c r="D74" s="186"/>
      <c r="E74" s="189" t="s">
        <v>223</v>
      </c>
      <c r="F74" s="189" t="s">
        <v>224</v>
      </c>
      <c r="G74" s="189">
        <v>221.43</v>
      </c>
      <c r="H74" s="189">
        <v>180</v>
      </c>
      <c r="I74" s="189">
        <v>4856000</v>
      </c>
      <c r="J74" s="189" t="s">
        <v>59</v>
      </c>
    </row>
    <row r="75" spans="2:10" ht="18.75" thickBot="1" x14ac:dyDescent="0.3">
      <c r="B75" s="189" t="s">
        <v>225</v>
      </c>
      <c r="C75" s="190" t="s">
        <v>226</v>
      </c>
      <c r="D75" s="186"/>
      <c r="E75" s="189" t="s">
        <v>223</v>
      </c>
      <c r="F75" s="189" t="s">
        <v>227</v>
      </c>
      <c r="G75" s="189">
        <v>353.35</v>
      </c>
      <c r="H75" s="189">
        <v>250</v>
      </c>
      <c r="I75" s="189">
        <v>4412400</v>
      </c>
      <c r="J75" s="189" t="s">
        <v>45</v>
      </c>
    </row>
    <row r="76" spans="2:10" ht="18.75" thickBot="1" x14ac:dyDescent="0.3">
      <c r="B76" s="189" t="s">
        <v>229</v>
      </c>
      <c r="C76" s="190" t="s">
        <v>230</v>
      </c>
      <c r="D76" s="186"/>
      <c r="E76" s="189" t="s">
        <v>223</v>
      </c>
      <c r="F76" s="189" t="s">
        <v>227</v>
      </c>
      <c r="G76" s="189">
        <v>356.56</v>
      </c>
      <c r="H76" s="189">
        <v>345</v>
      </c>
      <c r="I76" s="189">
        <v>8090000</v>
      </c>
      <c r="J76" s="189" t="s">
        <v>231</v>
      </c>
    </row>
    <row r="77" spans="2:10" ht="18.75" thickBot="1" x14ac:dyDescent="0.3">
      <c r="B77" s="189" t="s">
        <v>232</v>
      </c>
      <c r="C77" s="190" t="s">
        <v>233</v>
      </c>
      <c r="D77" s="186"/>
      <c r="E77" s="189" t="s">
        <v>223</v>
      </c>
      <c r="F77" s="189" t="s">
        <v>234</v>
      </c>
      <c r="G77" s="189">
        <v>393</v>
      </c>
      <c r="H77" s="189">
        <v>0</v>
      </c>
      <c r="I77" s="189">
        <v>0</v>
      </c>
      <c r="J77" s="189" t="s">
        <v>45</v>
      </c>
    </row>
    <row r="78" spans="2:10" ht="18.75" thickBot="1" x14ac:dyDescent="0.3">
      <c r="B78" s="189" t="s">
        <v>235</v>
      </c>
      <c r="C78" s="190" t="s">
        <v>236</v>
      </c>
      <c r="D78" s="186"/>
      <c r="E78" s="189" t="s">
        <v>223</v>
      </c>
      <c r="F78" s="189" t="s">
        <v>237</v>
      </c>
      <c r="G78" s="189">
        <v>46.94</v>
      </c>
      <c r="H78" s="189">
        <v>33</v>
      </c>
      <c r="I78" s="189">
        <v>780552</v>
      </c>
      <c r="J78" s="189" t="s">
        <v>45</v>
      </c>
    </row>
    <row r="79" spans="2:10" ht="18.75" thickBot="1" x14ac:dyDescent="0.3">
      <c r="B79" s="189" t="s">
        <v>238</v>
      </c>
      <c r="C79" s="190" t="s">
        <v>239</v>
      </c>
      <c r="D79" s="186"/>
      <c r="E79" s="189" t="s">
        <v>66</v>
      </c>
      <c r="F79" s="189" t="s">
        <v>240</v>
      </c>
      <c r="G79" s="189">
        <v>55</v>
      </c>
      <c r="H79" s="189">
        <v>53</v>
      </c>
      <c r="I79" s="189">
        <v>932160</v>
      </c>
      <c r="J79" s="189" t="s">
        <v>45</v>
      </c>
    </row>
    <row r="80" spans="2:10" ht="18.75" thickBot="1" x14ac:dyDescent="0.3">
      <c r="B80" s="189" t="s">
        <v>241</v>
      </c>
      <c r="C80" s="190" t="s">
        <v>242</v>
      </c>
      <c r="D80" s="186"/>
      <c r="E80" s="189" t="s">
        <v>38</v>
      </c>
      <c r="F80" s="189" t="s">
        <v>243</v>
      </c>
      <c r="G80" s="189">
        <v>195</v>
      </c>
      <c r="H80" s="189">
        <v>73</v>
      </c>
      <c r="I80" s="189">
        <v>2442182</v>
      </c>
      <c r="J80" s="189" t="s">
        <v>35</v>
      </c>
    </row>
    <row r="81" spans="2:10" ht="18.75" thickBot="1" x14ac:dyDescent="0.3">
      <c r="B81" s="189" t="s">
        <v>244</v>
      </c>
      <c r="C81" s="190" t="s">
        <v>245</v>
      </c>
      <c r="D81" s="186"/>
      <c r="E81" s="189" t="s">
        <v>38</v>
      </c>
      <c r="F81" s="189" t="s">
        <v>246</v>
      </c>
      <c r="G81" s="189">
        <v>51</v>
      </c>
      <c r="H81" s="189">
        <v>51</v>
      </c>
      <c r="I81" s="189">
        <v>1148676</v>
      </c>
      <c r="J81" s="189" t="s">
        <v>45</v>
      </c>
    </row>
    <row r="82" spans="2:10" ht="18.75" thickBot="1" x14ac:dyDescent="0.3">
      <c r="B82" s="189" t="s">
        <v>247</v>
      </c>
      <c r="C82" s="190" t="s">
        <v>248</v>
      </c>
      <c r="D82" s="186"/>
      <c r="E82" s="189" t="s">
        <v>38</v>
      </c>
      <c r="F82" s="189" t="s">
        <v>249</v>
      </c>
      <c r="G82" s="189">
        <v>150</v>
      </c>
      <c r="H82" s="189">
        <v>30</v>
      </c>
      <c r="I82" s="189">
        <v>2072509</v>
      </c>
      <c r="J82" s="189" t="s">
        <v>45</v>
      </c>
    </row>
    <row r="83" spans="2:10" ht="18.75" thickBot="1" x14ac:dyDescent="0.3">
      <c r="B83" s="189" t="s">
        <v>250</v>
      </c>
      <c r="C83" s="190" t="s">
        <v>251</v>
      </c>
      <c r="D83" s="186"/>
      <c r="E83" s="189" t="s">
        <v>24</v>
      </c>
      <c r="F83" s="189" t="s">
        <v>252</v>
      </c>
      <c r="G83" s="189">
        <v>47</v>
      </c>
      <c r="H83" s="189">
        <v>31</v>
      </c>
      <c r="I83" s="189">
        <v>752032</v>
      </c>
      <c r="J83" s="189" t="s">
        <v>174</v>
      </c>
    </row>
    <row r="84" spans="2:10" ht="18.75" thickBot="1" x14ac:dyDescent="0.3">
      <c r="B84" s="189" t="s">
        <v>253</v>
      </c>
      <c r="C84" s="190" t="s">
        <v>254</v>
      </c>
      <c r="D84" s="186"/>
      <c r="E84" s="189" t="s">
        <v>24</v>
      </c>
      <c r="F84" s="189" t="s">
        <v>255</v>
      </c>
      <c r="G84" s="189">
        <v>163</v>
      </c>
      <c r="H84" s="189">
        <v>70</v>
      </c>
      <c r="I84" s="189">
        <v>1356820</v>
      </c>
      <c r="J84" s="189" t="s">
        <v>45</v>
      </c>
    </row>
    <row r="85" spans="2:10" ht="18.75" thickBot="1" x14ac:dyDescent="0.3">
      <c r="B85" s="189" t="s">
        <v>256</v>
      </c>
      <c r="C85" s="190" t="s">
        <v>257</v>
      </c>
      <c r="D85" s="186"/>
      <c r="E85" s="189" t="s">
        <v>38</v>
      </c>
      <c r="F85" s="189" t="s">
        <v>258</v>
      </c>
      <c r="G85" s="189">
        <v>200</v>
      </c>
      <c r="H85" s="189">
        <v>170</v>
      </c>
      <c r="I85" s="189">
        <v>3679200</v>
      </c>
      <c r="J85" s="189" t="s">
        <v>45</v>
      </c>
    </row>
    <row r="86" spans="2:10" ht="18.75" thickBot="1" x14ac:dyDescent="0.3">
      <c r="B86" s="189" t="s">
        <v>259</v>
      </c>
      <c r="C86" s="190" t="s">
        <v>260</v>
      </c>
      <c r="D86" s="186"/>
      <c r="E86" s="189" t="s">
        <v>70</v>
      </c>
      <c r="F86" s="189" t="s">
        <v>261</v>
      </c>
      <c r="G86" s="189">
        <v>11</v>
      </c>
      <c r="H86" s="189">
        <v>0</v>
      </c>
      <c r="I86" s="189">
        <v>0</v>
      </c>
      <c r="J86" s="189" t="s">
        <v>52</v>
      </c>
    </row>
    <row r="87" spans="2:10" ht="18.75" thickBot="1" x14ac:dyDescent="0.3">
      <c r="B87" s="189"/>
      <c r="C87" s="190" t="s">
        <v>262</v>
      </c>
      <c r="D87" s="186"/>
      <c r="E87" s="189" t="s">
        <v>263</v>
      </c>
      <c r="F87" s="189" t="s">
        <v>913</v>
      </c>
      <c r="G87" s="189">
        <v>160</v>
      </c>
      <c r="H87" s="189">
        <v>44</v>
      </c>
      <c r="I87" s="189">
        <v>998400</v>
      </c>
      <c r="J87" s="189" t="s">
        <v>45</v>
      </c>
    </row>
    <row r="88" spans="2:10" ht="18.75" thickBot="1" x14ac:dyDescent="0.3">
      <c r="B88" s="189" t="s">
        <v>264</v>
      </c>
      <c r="C88" s="190" t="s">
        <v>265</v>
      </c>
      <c r="D88" s="186"/>
      <c r="E88" s="189" t="s">
        <v>38</v>
      </c>
      <c r="F88" s="189" t="s">
        <v>252</v>
      </c>
      <c r="G88" s="189">
        <v>52.2</v>
      </c>
      <c r="H88" s="189">
        <v>8</v>
      </c>
      <c r="I88" s="189">
        <v>957758</v>
      </c>
      <c r="J88" s="189" t="s">
        <v>45</v>
      </c>
    </row>
    <row r="89" spans="2:10" ht="18.75" thickBot="1" x14ac:dyDescent="0.3">
      <c r="B89" s="189" t="s">
        <v>266</v>
      </c>
      <c r="C89" s="190" t="s">
        <v>267</v>
      </c>
      <c r="D89" s="186"/>
      <c r="E89" s="189" t="s">
        <v>70</v>
      </c>
      <c r="F89" s="189" t="s">
        <v>268</v>
      </c>
      <c r="G89" s="189">
        <v>25</v>
      </c>
      <c r="H89" s="189">
        <v>18</v>
      </c>
      <c r="I89" s="189">
        <v>385560</v>
      </c>
      <c r="J89" s="189" t="s">
        <v>45</v>
      </c>
    </row>
    <row r="90" spans="2:10" ht="18.75" thickBot="1" x14ac:dyDescent="0.3">
      <c r="B90" s="189" t="s">
        <v>269</v>
      </c>
      <c r="C90" s="190" t="s">
        <v>270</v>
      </c>
      <c r="D90" s="186"/>
      <c r="E90" s="189" t="s">
        <v>38</v>
      </c>
      <c r="F90" s="189" t="s">
        <v>271</v>
      </c>
      <c r="G90" s="189">
        <v>114</v>
      </c>
      <c r="H90" s="189">
        <v>114</v>
      </c>
      <c r="I90" s="189">
        <v>2696100</v>
      </c>
      <c r="J90" s="189" t="s">
        <v>45</v>
      </c>
    </row>
    <row r="91" spans="2:10" ht="18.75" thickBot="1" x14ac:dyDescent="0.3">
      <c r="B91" s="189" t="s">
        <v>272</v>
      </c>
      <c r="C91" s="190" t="s">
        <v>273</v>
      </c>
      <c r="D91" s="186"/>
      <c r="E91" s="189" t="s">
        <v>38</v>
      </c>
      <c r="F91" s="189" t="s">
        <v>274</v>
      </c>
      <c r="G91" s="189">
        <v>113</v>
      </c>
      <c r="H91" s="189">
        <v>39</v>
      </c>
      <c r="I91" s="189">
        <v>441840</v>
      </c>
      <c r="J91" s="189" t="s">
        <v>275</v>
      </c>
    </row>
    <row r="92" spans="2:10" ht="18.75" thickBot="1" x14ac:dyDescent="0.3">
      <c r="B92" s="189" t="s">
        <v>276</v>
      </c>
      <c r="C92" s="190" t="s">
        <v>277</v>
      </c>
      <c r="D92" s="186"/>
      <c r="E92" s="189" t="s">
        <v>38</v>
      </c>
      <c r="F92" s="189" t="s">
        <v>278</v>
      </c>
      <c r="G92" s="189">
        <v>115</v>
      </c>
      <c r="H92" s="189">
        <v>90</v>
      </c>
      <c r="I92" s="189">
        <v>1660800</v>
      </c>
      <c r="J92" s="189" t="s">
        <v>45</v>
      </c>
    </row>
    <row r="93" spans="2:10" ht="18.75" thickBot="1" x14ac:dyDescent="0.3">
      <c r="B93" s="189" t="s">
        <v>279</v>
      </c>
      <c r="C93" s="190" t="s">
        <v>280</v>
      </c>
      <c r="D93" s="186"/>
      <c r="E93" s="189" t="s">
        <v>48</v>
      </c>
      <c r="F93" s="189" t="s">
        <v>913</v>
      </c>
      <c r="G93" s="189">
        <v>75</v>
      </c>
      <c r="H93" s="189">
        <v>0</v>
      </c>
      <c r="I93" s="189">
        <v>497845</v>
      </c>
      <c r="J93" s="189" t="s">
        <v>45</v>
      </c>
    </row>
    <row r="94" spans="2:10" ht="19.5" thickBot="1" x14ac:dyDescent="0.3">
      <c r="B94" s="188" t="s">
        <v>281</v>
      </c>
      <c r="C94" s="187"/>
      <c r="D94" s="187"/>
      <c r="E94" s="187"/>
      <c r="F94" s="186"/>
      <c r="G94" s="185">
        <v>2897.48</v>
      </c>
      <c r="H94" s="185">
        <v>1599</v>
      </c>
      <c r="I94" s="185">
        <v>38160834</v>
      </c>
      <c r="J94" s="184"/>
    </row>
    <row r="95" spans="2:10" ht="18.75" thickBot="1" x14ac:dyDescent="0.3">
      <c r="B95" s="189" t="s">
        <v>282</v>
      </c>
      <c r="C95" s="190" t="s">
        <v>283</v>
      </c>
      <c r="D95" s="186"/>
      <c r="E95" s="189" t="s">
        <v>109</v>
      </c>
      <c r="F95" s="189" t="s">
        <v>284</v>
      </c>
      <c r="G95" s="189">
        <v>210</v>
      </c>
      <c r="H95" s="189">
        <v>11</v>
      </c>
      <c r="I95" s="189">
        <v>320640</v>
      </c>
      <c r="J95" s="189" t="s">
        <v>99</v>
      </c>
    </row>
    <row r="96" spans="2:10" ht="18.75" thickBot="1" x14ac:dyDescent="0.3">
      <c r="B96" s="189" t="s">
        <v>285</v>
      </c>
      <c r="C96" s="190" t="s">
        <v>286</v>
      </c>
      <c r="D96" s="186"/>
      <c r="E96" s="189" t="s">
        <v>38</v>
      </c>
      <c r="F96" s="189" t="s">
        <v>913</v>
      </c>
      <c r="G96" s="189">
        <v>2.71</v>
      </c>
      <c r="H96" s="189">
        <v>0</v>
      </c>
      <c r="I96" s="189">
        <v>13000</v>
      </c>
      <c r="J96" s="189" t="s">
        <v>45</v>
      </c>
    </row>
    <row r="97" spans="2:10" ht="18.75" thickBot="1" x14ac:dyDescent="0.3">
      <c r="B97" s="189" t="s">
        <v>287</v>
      </c>
      <c r="C97" s="190" t="s">
        <v>288</v>
      </c>
      <c r="D97" s="186"/>
      <c r="E97" s="189" t="s">
        <v>38</v>
      </c>
      <c r="F97" s="189" t="s">
        <v>289</v>
      </c>
      <c r="G97" s="189">
        <v>200</v>
      </c>
      <c r="H97" s="189">
        <v>165</v>
      </c>
      <c r="I97" s="189">
        <v>2544000</v>
      </c>
      <c r="J97" s="189" t="s">
        <v>45</v>
      </c>
    </row>
    <row r="98" spans="2:10" ht="18.75" thickBot="1" x14ac:dyDescent="0.3">
      <c r="B98" s="189" t="s">
        <v>290</v>
      </c>
      <c r="C98" s="190" t="s">
        <v>291</v>
      </c>
      <c r="D98" s="186"/>
      <c r="E98" s="189" t="s">
        <v>38</v>
      </c>
      <c r="F98" s="189" t="s">
        <v>292</v>
      </c>
      <c r="G98" s="189">
        <v>115</v>
      </c>
      <c r="H98" s="189">
        <v>96</v>
      </c>
      <c r="I98" s="189">
        <v>1480800</v>
      </c>
      <c r="J98" s="189" t="s">
        <v>45</v>
      </c>
    </row>
    <row r="99" spans="2:10" ht="18.75" thickBot="1" x14ac:dyDescent="0.3">
      <c r="B99" s="189" t="s">
        <v>293</v>
      </c>
      <c r="C99" s="190" t="s">
        <v>294</v>
      </c>
      <c r="D99" s="186"/>
      <c r="E99" s="189" t="s">
        <v>38</v>
      </c>
      <c r="F99" s="189" t="s">
        <v>913</v>
      </c>
      <c r="G99" s="189">
        <v>50</v>
      </c>
      <c r="H99" s="189">
        <v>0</v>
      </c>
      <c r="I99" s="189">
        <v>273250</v>
      </c>
      <c r="J99" s="189" t="s">
        <v>45</v>
      </c>
    </row>
    <row r="100" spans="2:10" ht="18.75" thickBot="1" x14ac:dyDescent="0.3">
      <c r="B100" s="189" t="s">
        <v>295</v>
      </c>
      <c r="C100" s="190" t="s">
        <v>296</v>
      </c>
      <c r="D100" s="186"/>
      <c r="E100" s="189" t="s">
        <v>38</v>
      </c>
      <c r="F100" s="189" t="s">
        <v>297</v>
      </c>
      <c r="G100" s="189">
        <v>22</v>
      </c>
      <c r="H100" s="189">
        <v>12</v>
      </c>
      <c r="I100" s="189">
        <v>289440</v>
      </c>
      <c r="J100" s="189" t="s">
        <v>298</v>
      </c>
    </row>
    <row r="101" spans="2:10" ht="18.75" thickBot="1" x14ac:dyDescent="0.3">
      <c r="B101" s="189" t="s">
        <v>299</v>
      </c>
      <c r="C101" s="190" t="s">
        <v>300</v>
      </c>
      <c r="D101" s="186"/>
      <c r="E101" s="189" t="s">
        <v>38</v>
      </c>
      <c r="F101" s="189" t="s">
        <v>301</v>
      </c>
      <c r="G101" s="189">
        <v>54.5</v>
      </c>
      <c r="H101" s="189">
        <v>17</v>
      </c>
      <c r="I101" s="189">
        <v>132840</v>
      </c>
      <c r="J101" s="189" t="s">
        <v>45</v>
      </c>
    </row>
    <row r="102" spans="2:10" ht="19.5" thickBot="1" x14ac:dyDescent="0.3">
      <c r="B102" s="188" t="s">
        <v>302</v>
      </c>
      <c r="C102" s="187"/>
      <c r="D102" s="187"/>
      <c r="E102" s="187"/>
      <c r="F102" s="186"/>
      <c r="G102" s="185">
        <v>654.21</v>
      </c>
      <c r="H102" s="185">
        <v>301</v>
      </c>
      <c r="I102" s="185">
        <v>5053970</v>
      </c>
      <c r="J102" s="184"/>
    </row>
    <row r="103" spans="2:10" ht="18.75" thickBot="1" x14ac:dyDescent="0.3">
      <c r="B103" s="189" t="s">
        <v>303</v>
      </c>
      <c r="C103" s="190" t="s">
        <v>304</v>
      </c>
      <c r="D103" s="186"/>
      <c r="E103" s="189" t="s">
        <v>24</v>
      </c>
      <c r="F103" s="189" t="s">
        <v>305</v>
      </c>
      <c r="G103" s="189">
        <v>80</v>
      </c>
      <c r="H103" s="189">
        <v>38</v>
      </c>
      <c r="I103" s="189">
        <v>866000</v>
      </c>
      <c r="J103" s="189" t="s">
        <v>45</v>
      </c>
    </row>
    <row r="104" spans="2:10" ht="18.75" thickBot="1" x14ac:dyDescent="0.3">
      <c r="B104" s="189" t="s">
        <v>306</v>
      </c>
      <c r="C104" s="190" t="s">
        <v>307</v>
      </c>
      <c r="D104" s="186"/>
      <c r="E104" s="189" t="s">
        <v>24</v>
      </c>
      <c r="F104" s="189" t="s">
        <v>308</v>
      </c>
      <c r="G104" s="189">
        <v>90</v>
      </c>
      <c r="H104" s="189">
        <v>30</v>
      </c>
      <c r="I104" s="189">
        <v>677640</v>
      </c>
      <c r="J104" s="189" t="s">
        <v>45</v>
      </c>
    </row>
    <row r="105" spans="2:10" ht="18.75" thickBot="1" x14ac:dyDescent="0.3">
      <c r="B105" s="189" t="s">
        <v>309</v>
      </c>
      <c r="C105" s="190" t="s">
        <v>310</v>
      </c>
      <c r="D105" s="186"/>
      <c r="E105" s="189" t="s">
        <v>38</v>
      </c>
      <c r="F105" s="189" t="s">
        <v>311</v>
      </c>
      <c r="G105" s="189">
        <v>163</v>
      </c>
      <c r="H105" s="189">
        <v>134</v>
      </c>
      <c r="I105" s="189">
        <v>3496418</v>
      </c>
      <c r="J105" s="189" t="s">
        <v>59</v>
      </c>
    </row>
    <row r="106" spans="2:10" ht="18.75" thickBot="1" x14ac:dyDescent="0.3">
      <c r="B106" s="189" t="s">
        <v>312</v>
      </c>
      <c r="C106" s="190" t="s">
        <v>313</v>
      </c>
      <c r="D106" s="186"/>
      <c r="E106" s="189" t="s">
        <v>24</v>
      </c>
      <c r="F106" s="189" t="s">
        <v>314</v>
      </c>
      <c r="G106" s="189">
        <v>330</v>
      </c>
      <c r="H106" s="189">
        <v>0</v>
      </c>
      <c r="I106" s="189">
        <v>0</v>
      </c>
      <c r="J106" s="189" t="s">
        <v>315</v>
      </c>
    </row>
    <row r="107" spans="2:10" ht="18.75" thickBot="1" x14ac:dyDescent="0.3">
      <c r="B107" s="189" t="s">
        <v>316</v>
      </c>
      <c r="C107" s="190" t="s">
        <v>317</v>
      </c>
      <c r="D107" s="186"/>
      <c r="E107" s="189" t="s">
        <v>318</v>
      </c>
      <c r="F107" s="189" t="s">
        <v>319</v>
      </c>
      <c r="G107" s="189">
        <v>47.997999999999998</v>
      </c>
      <c r="H107" s="189">
        <v>0</v>
      </c>
      <c r="I107" s="189">
        <v>0</v>
      </c>
      <c r="J107" s="189" t="s">
        <v>52</v>
      </c>
    </row>
    <row r="108" spans="2:10" ht="18.75" thickBot="1" x14ac:dyDescent="0.3">
      <c r="B108" s="189" t="s">
        <v>320</v>
      </c>
      <c r="C108" s="190" t="s">
        <v>321</v>
      </c>
      <c r="D108" s="186"/>
      <c r="E108" s="189" t="s">
        <v>70</v>
      </c>
      <c r="F108" s="189" t="s">
        <v>261</v>
      </c>
      <c r="G108" s="189">
        <v>11</v>
      </c>
      <c r="H108" s="189">
        <v>0</v>
      </c>
      <c r="I108" s="189">
        <v>0</v>
      </c>
      <c r="J108" s="189" t="s">
        <v>45</v>
      </c>
    </row>
    <row r="109" spans="2:10" ht="18.75" thickBot="1" x14ac:dyDescent="0.3">
      <c r="B109" s="189" t="s">
        <v>322</v>
      </c>
      <c r="C109" s="190" t="s">
        <v>323</v>
      </c>
      <c r="D109" s="186"/>
      <c r="E109" s="189" t="s">
        <v>24</v>
      </c>
      <c r="F109" s="189" t="s">
        <v>324</v>
      </c>
      <c r="G109" s="189">
        <v>66.569999999999993</v>
      </c>
      <c r="H109" s="189">
        <v>30</v>
      </c>
      <c r="I109" s="189">
        <v>674688</v>
      </c>
      <c r="J109" s="189" t="s">
        <v>471</v>
      </c>
    </row>
    <row r="110" spans="2:10" ht="18.75" thickBot="1" x14ac:dyDescent="0.3">
      <c r="B110" s="189" t="s">
        <v>325</v>
      </c>
      <c r="C110" s="190" t="s">
        <v>326</v>
      </c>
      <c r="D110" s="186"/>
      <c r="E110" s="189" t="s">
        <v>327</v>
      </c>
      <c r="F110" s="189" t="s">
        <v>328</v>
      </c>
      <c r="G110" s="189">
        <v>86</v>
      </c>
      <c r="H110" s="189">
        <v>78</v>
      </c>
      <c r="I110" s="189">
        <v>1727040</v>
      </c>
      <c r="J110" s="189" t="s">
        <v>917</v>
      </c>
    </row>
    <row r="111" spans="2:10" ht="18.75" thickBot="1" x14ac:dyDescent="0.3">
      <c r="B111" s="189" t="s">
        <v>329</v>
      </c>
      <c r="C111" s="190" t="s">
        <v>330</v>
      </c>
      <c r="D111" s="186"/>
      <c r="E111" s="189" t="s">
        <v>24</v>
      </c>
      <c r="F111" s="189" t="s">
        <v>331</v>
      </c>
      <c r="G111" s="189">
        <v>100</v>
      </c>
      <c r="H111" s="189">
        <v>0</v>
      </c>
      <c r="I111" s="189">
        <v>0</v>
      </c>
      <c r="J111" s="189" t="s">
        <v>174</v>
      </c>
    </row>
    <row r="112" spans="2:10" ht="18.75" thickBot="1" x14ac:dyDescent="0.3">
      <c r="B112" s="189" t="s">
        <v>332</v>
      </c>
      <c r="C112" s="190" t="s">
        <v>333</v>
      </c>
      <c r="D112" s="186"/>
      <c r="E112" s="189" t="s">
        <v>24</v>
      </c>
      <c r="F112" s="189" t="s">
        <v>334</v>
      </c>
      <c r="G112" s="189">
        <v>225</v>
      </c>
      <c r="H112" s="189">
        <v>173</v>
      </c>
      <c r="I112" s="189">
        <v>4574170</v>
      </c>
      <c r="J112" s="189" t="s">
        <v>45</v>
      </c>
    </row>
    <row r="113" spans="2:10" ht="18.75" thickBot="1" x14ac:dyDescent="0.3">
      <c r="B113" s="189" t="s">
        <v>335</v>
      </c>
      <c r="C113" s="190" t="s">
        <v>336</v>
      </c>
      <c r="D113" s="186"/>
      <c r="E113" s="189" t="s">
        <v>24</v>
      </c>
      <c r="F113" s="189" t="s">
        <v>337</v>
      </c>
      <c r="G113" s="189">
        <v>20</v>
      </c>
      <c r="H113" s="189">
        <v>17</v>
      </c>
      <c r="I113" s="189">
        <v>389000</v>
      </c>
      <c r="J113" s="189" t="s">
        <v>45</v>
      </c>
    </row>
    <row r="114" spans="2:10" ht="18.75" thickBot="1" x14ac:dyDescent="0.3">
      <c r="B114" s="189" t="s">
        <v>338</v>
      </c>
      <c r="C114" s="190" t="s">
        <v>339</v>
      </c>
      <c r="D114" s="186"/>
      <c r="E114" s="189" t="s">
        <v>70</v>
      </c>
      <c r="F114" s="189" t="s">
        <v>340</v>
      </c>
      <c r="G114" s="189">
        <v>25</v>
      </c>
      <c r="H114" s="189">
        <v>0</v>
      </c>
      <c r="I114" s="189">
        <v>80112</v>
      </c>
      <c r="J114" s="189" t="s">
        <v>45</v>
      </c>
    </row>
    <row r="115" spans="2:10" ht="18.75" thickBot="1" x14ac:dyDescent="0.3">
      <c r="B115" s="189" t="s">
        <v>341</v>
      </c>
      <c r="C115" s="190" t="s">
        <v>342</v>
      </c>
      <c r="D115" s="186"/>
      <c r="E115" s="189" t="s">
        <v>38</v>
      </c>
      <c r="F115" s="189" t="s">
        <v>343</v>
      </c>
      <c r="G115" s="189">
        <v>341</v>
      </c>
      <c r="H115" s="189">
        <v>295</v>
      </c>
      <c r="I115" s="189">
        <v>7407000</v>
      </c>
      <c r="J115" s="189" t="s">
        <v>59</v>
      </c>
    </row>
    <row r="116" spans="2:10" ht="18.75" thickBot="1" x14ac:dyDescent="0.3">
      <c r="B116" s="189" t="s">
        <v>344</v>
      </c>
      <c r="C116" s="190" t="s">
        <v>345</v>
      </c>
      <c r="D116" s="186"/>
      <c r="E116" s="189" t="s">
        <v>24</v>
      </c>
      <c r="F116" s="189" t="s">
        <v>346</v>
      </c>
      <c r="G116" s="189">
        <v>400</v>
      </c>
      <c r="H116" s="189">
        <v>356</v>
      </c>
      <c r="I116" s="189">
        <v>8532000</v>
      </c>
      <c r="J116" s="189" t="s">
        <v>347</v>
      </c>
    </row>
    <row r="117" spans="2:10" ht="18.75" thickBot="1" x14ac:dyDescent="0.3">
      <c r="B117" s="189" t="s">
        <v>348</v>
      </c>
      <c r="C117" s="190" t="s">
        <v>349</v>
      </c>
      <c r="D117" s="186"/>
      <c r="E117" s="189" t="s">
        <v>24</v>
      </c>
      <c r="F117" s="189" t="s">
        <v>350</v>
      </c>
      <c r="G117" s="189">
        <v>383</v>
      </c>
      <c r="H117" s="189">
        <v>0</v>
      </c>
      <c r="I117" s="189">
        <v>0</v>
      </c>
      <c r="J117" s="189" t="s">
        <v>916</v>
      </c>
    </row>
    <row r="118" spans="2:10" ht="19.5" thickBot="1" x14ac:dyDescent="0.3">
      <c r="B118" s="188" t="s">
        <v>351</v>
      </c>
      <c r="C118" s="187"/>
      <c r="D118" s="187"/>
      <c r="E118" s="187"/>
      <c r="F118" s="186"/>
      <c r="G118" s="185">
        <v>2368.5680000000002</v>
      </c>
      <c r="H118" s="185">
        <v>1151</v>
      </c>
      <c r="I118" s="185">
        <v>28424068</v>
      </c>
      <c r="J118" s="184"/>
    </row>
    <row r="119" spans="2:10" ht="18.75" thickBot="1" x14ac:dyDescent="0.3">
      <c r="B119" s="189" t="s">
        <v>352</v>
      </c>
      <c r="C119" s="190" t="s">
        <v>353</v>
      </c>
      <c r="D119" s="186"/>
      <c r="E119" s="189" t="s">
        <v>24</v>
      </c>
      <c r="F119" s="189" t="s">
        <v>355</v>
      </c>
      <c r="G119" s="189">
        <v>16</v>
      </c>
      <c r="H119" s="189">
        <v>0</v>
      </c>
      <c r="I119" s="189">
        <v>0</v>
      </c>
      <c r="J119" s="189" t="s">
        <v>52</v>
      </c>
    </row>
    <row r="120" spans="2:10" ht="18.75" thickBot="1" x14ac:dyDescent="0.3">
      <c r="B120" s="189" t="s">
        <v>356</v>
      </c>
      <c r="C120" s="190" t="s">
        <v>357</v>
      </c>
      <c r="D120" s="186"/>
      <c r="E120" s="189" t="s">
        <v>263</v>
      </c>
      <c r="F120" s="189" t="s">
        <v>358</v>
      </c>
      <c r="G120" s="189">
        <v>1000</v>
      </c>
      <c r="H120" s="189">
        <v>926</v>
      </c>
      <c r="I120" s="189">
        <v>22062545</v>
      </c>
      <c r="J120" s="189" t="s">
        <v>45</v>
      </c>
    </row>
    <row r="121" spans="2:10" ht="18.75" thickBot="1" x14ac:dyDescent="0.3">
      <c r="B121" s="189" t="s">
        <v>359</v>
      </c>
      <c r="C121" s="190" t="s">
        <v>360</v>
      </c>
      <c r="D121" s="186"/>
      <c r="E121" s="189" t="s">
        <v>24</v>
      </c>
      <c r="F121" s="189" t="s">
        <v>361</v>
      </c>
      <c r="G121" s="189">
        <v>50</v>
      </c>
      <c r="H121" s="189">
        <v>0</v>
      </c>
      <c r="I121" s="189">
        <v>30720</v>
      </c>
      <c r="J121" s="189" t="s">
        <v>45</v>
      </c>
    </row>
    <row r="122" spans="2:10" ht="18.75" thickBot="1" x14ac:dyDescent="0.3">
      <c r="B122" s="189" t="s">
        <v>362</v>
      </c>
      <c r="C122" s="190" t="s">
        <v>363</v>
      </c>
      <c r="D122" s="186"/>
      <c r="E122" s="189" t="s">
        <v>365</v>
      </c>
      <c r="F122" s="189" t="s">
        <v>366</v>
      </c>
      <c r="G122" s="189">
        <v>230</v>
      </c>
      <c r="H122" s="189">
        <v>0</v>
      </c>
      <c r="I122" s="189">
        <v>0</v>
      </c>
      <c r="J122" s="189" t="s">
        <v>45</v>
      </c>
    </row>
    <row r="123" spans="2:10" ht="18.75" thickBot="1" x14ac:dyDescent="0.3">
      <c r="B123" s="189" t="s">
        <v>367</v>
      </c>
      <c r="C123" s="190" t="s">
        <v>368</v>
      </c>
      <c r="D123" s="186"/>
      <c r="E123" s="189" t="s">
        <v>24</v>
      </c>
      <c r="F123" s="189" t="s">
        <v>369</v>
      </c>
      <c r="G123" s="189">
        <v>100</v>
      </c>
      <c r="H123" s="189">
        <v>0</v>
      </c>
      <c r="I123" s="189">
        <v>4096</v>
      </c>
      <c r="J123" s="189" t="s">
        <v>45</v>
      </c>
    </row>
    <row r="124" spans="2:10" ht="18.75" thickBot="1" x14ac:dyDescent="0.3">
      <c r="B124" s="189" t="s">
        <v>370</v>
      </c>
      <c r="C124" s="190" t="s">
        <v>371</v>
      </c>
      <c r="D124" s="186"/>
      <c r="E124" s="189" t="s">
        <v>365</v>
      </c>
      <c r="F124" s="189" t="s">
        <v>372</v>
      </c>
      <c r="G124" s="189">
        <v>410</v>
      </c>
      <c r="H124" s="189">
        <v>212</v>
      </c>
      <c r="I124" s="189">
        <v>5615136</v>
      </c>
      <c r="J124" s="189" t="s">
        <v>35</v>
      </c>
    </row>
    <row r="125" spans="2:10" ht="18.75" thickBot="1" x14ac:dyDescent="0.3">
      <c r="B125" s="189" t="s">
        <v>373</v>
      </c>
      <c r="C125" s="190" t="s">
        <v>374</v>
      </c>
      <c r="D125" s="186"/>
      <c r="E125" s="189" t="s">
        <v>38</v>
      </c>
      <c r="F125" s="189" t="s">
        <v>375</v>
      </c>
      <c r="G125" s="189">
        <v>105</v>
      </c>
      <c r="H125" s="189">
        <v>52</v>
      </c>
      <c r="I125" s="189">
        <v>410400</v>
      </c>
      <c r="J125" s="189" t="s">
        <v>45</v>
      </c>
    </row>
    <row r="126" spans="2:10" ht="18.75" thickBot="1" x14ac:dyDescent="0.3">
      <c r="B126" s="189" t="s">
        <v>376</v>
      </c>
      <c r="C126" s="190" t="s">
        <v>377</v>
      </c>
      <c r="D126" s="186"/>
      <c r="E126" s="189" t="s">
        <v>365</v>
      </c>
      <c r="F126" s="189" t="s">
        <v>378</v>
      </c>
      <c r="G126" s="189">
        <v>105</v>
      </c>
      <c r="H126" s="189">
        <v>0</v>
      </c>
      <c r="I126" s="189">
        <v>0</v>
      </c>
      <c r="J126" s="189" t="s">
        <v>85</v>
      </c>
    </row>
    <row r="127" spans="2:10" ht="18.75" thickBot="1" x14ac:dyDescent="0.3">
      <c r="B127" s="189" t="s">
        <v>379</v>
      </c>
      <c r="C127" s="190" t="s">
        <v>380</v>
      </c>
      <c r="D127" s="186"/>
      <c r="E127" s="189" t="s">
        <v>38</v>
      </c>
      <c r="F127" s="189" t="s">
        <v>352</v>
      </c>
      <c r="G127" s="189">
        <v>100</v>
      </c>
      <c r="H127" s="189">
        <v>0</v>
      </c>
      <c r="I127" s="189">
        <v>712800</v>
      </c>
      <c r="J127" s="189" t="s">
        <v>45</v>
      </c>
    </row>
    <row r="128" spans="2:10" ht="18.75" thickBot="1" x14ac:dyDescent="0.3">
      <c r="B128" s="189" t="s">
        <v>381</v>
      </c>
      <c r="C128" s="190" t="s">
        <v>382</v>
      </c>
      <c r="D128" s="186"/>
      <c r="E128" s="189" t="s">
        <v>24</v>
      </c>
      <c r="F128" s="189" t="s">
        <v>383</v>
      </c>
      <c r="G128" s="189">
        <v>336</v>
      </c>
      <c r="H128" s="189">
        <v>0</v>
      </c>
      <c r="I128" s="189">
        <v>0</v>
      </c>
      <c r="J128" s="189" t="s">
        <v>915</v>
      </c>
    </row>
    <row r="129" spans="2:10" ht="18.75" thickBot="1" x14ac:dyDescent="0.3">
      <c r="B129" s="189" t="s">
        <v>384</v>
      </c>
      <c r="C129" s="190" t="s">
        <v>385</v>
      </c>
      <c r="D129" s="186"/>
      <c r="E129" s="189" t="s">
        <v>24</v>
      </c>
      <c r="F129" s="189" t="s">
        <v>386</v>
      </c>
      <c r="G129" s="189">
        <v>1234.2</v>
      </c>
      <c r="H129" s="189">
        <v>1220</v>
      </c>
      <c r="I129" s="189">
        <v>22720004</v>
      </c>
      <c r="J129" s="189" t="s">
        <v>45</v>
      </c>
    </row>
    <row r="130" spans="2:10" ht="18.75" thickBot="1" x14ac:dyDescent="0.3">
      <c r="B130" s="189" t="s">
        <v>356</v>
      </c>
      <c r="C130" s="190" t="s">
        <v>387</v>
      </c>
      <c r="D130" s="186"/>
      <c r="E130" s="189" t="s">
        <v>263</v>
      </c>
      <c r="F130" s="189" t="s">
        <v>388</v>
      </c>
      <c r="G130" s="189">
        <v>0</v>
      </c>
      <c r="H130" s="189">
        <v>0</v>
      </c>
      <c r="I130" s="189">
        <v>0</v>
      </c>
      <c r="J130" s="189" t="s">
        <v>45</v>
      </c>
    </row>
    <row r="131" spans="2:10" ht="19.5" thickBot="1" x14ac:dyDescent="0.3">
      <c r="B131" s="188" t="s">
        <v>389</v>
      </c>
      <c r="C131" s="187"/>
      <c r="D131" s="187"/>
      <c r="E131" s="187"/>
      <c r="F131" s="186"/>
      <c r="G131" s="185">
        <v>3686.2</v>
      </c>
      <c r="H131" s="185">
        <v>2410</v>
      </c>
      <c r="I131" s="185">
        <v>51555701</v>
      </c>
      <c r="J131" s="184"/>
    </row>
    <row r="132" spans="2:10" ht="18.75" thickBot="1" x14ac:dyDescent="0.3">
      <c r="B132" s="189"/>
      <c r="C132" s="190" t="s">
        <v>390</v>
      </c>
      <c r="D132" s="186"/>
      <c r="E132" s="189" t="s">
        <v>109</v>
      </c>
      <c r="F132" s="189" t="s">
        <v>386</v>
      </c>
      <c r="G132" s="189">
        <v>1320</v>
      </c>
      <c r="H132" s="189">
        <v>345</v>
      </c>
      <c r="I132" s="189">
        <v>8660952</v>
      </c>
      <c r="J132" s="189" t="s">
        <v>391</v>
      </c>
    </row>
    <row r="133" spans="2:10" ht="18.75" thickBot="1" x14ac:dyDescent="0.3">
      <c r="B133" s="189" t="s">
        <v>392</v>
      </c>
      <c r="C133" s="190" t="s">
        <v>393</v>
      </c>
      <c r="D133" s="186"/>
      <c r="E133" s="189" t="s">
        <v>38</v>
      </c>
      <c r="F133" s="189" t="s">
        <v>394</v>
      </c>
      <c r="G133" s="189">
        <v>110</v>
      </c>
      <c r="H133" s="189">
        <v>16</v>
      </c>
      <c r="I133" s="189">
        <v>471360</v>
      </c>
      <c r="J133" s="189" t="s">
        <v>45</v>
      </c>
    </row>
    <row r="134" spans="2:10" ht="18.75" thickBot="1" x14ac:dyDescent="0.3">
      <c r="B134" s="189" t="s">
        <v>395</v>
      </c>
      <c r="C134" s="190" t="s">
        <v>396</v>
      </c>
      <c r="D134" s="186"/>
      <c r="E134" s="189" t="s">
        <v>318</v>
      </c>
      <c r="F134" s="189" t="s">
        <v>397</v>
      </c>
      <c r="G134" s="189">
        <v>40</v>
      </c>
      <c r="H134" s="189">
        <v>11</v>
      </c>
      <c r="I134" s="189">
        <v>237063</v>
      </c>
      <c r="J134" s="189" t="s">
        <v>45</v>
      </c>
    </row>
    <row r="135" spans="2:10" ht="18.75" thickBot="1" x14ac:dyDescent="0.3">
      <c r="B135" s="189" t="s">
        <v>398</v>
      </c>
      <c r="C135" s="190" t="s">
        <v>399</v>
      </c>
      <c r="D135" s="186"/>
      <c r="E135" s="189" t="s">
        <v>24</v>
      </c>
      <c r="F135" s="189" t="s">
        <v>400</v>
      </c>
      <c r="G135" s="189">
        <v>193.1</v>
      </c>
      <c r="H135" s="189">
        <v>105</v>
      </c>
      <c r="I135" s="189">
        <v>2605000</v>
      </c>
      <c r="J135" s="189" t="s">
        <v>401</v>
      </c>
    </row>
    <row r="136" spans="2:10" ht="18.75" thickBot="1" x14ac:dyDescent="0.3">
      <c r="B136" s="189" t="s">
        <v>402</v>
      </c>
      <c r="C136" s="190" t="s">
        <v>403</v>
      </c>
      <c r="D136" s="186"/>
      <c r="E136" s="189" t="s">
        <v>404</v>
      </c>
      <c r="F136" s="189" t="s">
        <v>405</v>
      </c>
      <c r="G136" s="189">
        <v>1244</v>
      </c>
      <c r="H136" s="189">
        <v>1244</v>
      </c>
      <c r="I136" s="189">
        <v>27015272.73</v>
      </c>
      <c r="J136" s="189" t="s">
        <v>59</v>
      </c>
    </row>
    <row r="137" spans="2:10" ht="18.75" thickBot="1" x14ac:dyDescent="0.3">
      <c r="B137" s="189" t="s">
        <v>406</v>
      </c>
      <c r="C137" s="190" t="s">
        <v>407</v>
      </c>
      <c r="D137" s="186"/>
      <c r="E137" s="189" t="s">
        <v>38</v>
      </c>
      <c r="F137" s="189" t="s">
        <v>408</v>
      </c>
      <c r="G137" s="189">
        <v>220</v>
      </c>
      <c r="H137" s="189">
        <v>220</v>
      </c>
      <c r="I137" s="189">
        <v>5216510</v>
      </c>
      <c r="J137" s="189" t="s">
        <v>914</v>
      </c>
    </row>
    <row r="138" spans="2:10" ht="18.75" thickBot="1" x14ac:dyDescent="0.3">
      <c r="B138" s="189" t="s">
        <v>410</v>
      </c>
      <c r="C138" s="190" t="s">
        <v>411</v>
      </c>
      <c r="D138" s="186"/>
      <c r="E138" s="189" t="s">
        <v>38</v>
      </c>
      <c r="F138" s="189" t="s">
        <v>412</v>
      </c>
      <c r="G138" s="189">
        <v>150</v>
      </c>
      <c r="H138" s="189">
        <v>0</v>
      </c>
      <c r="I138" s="189">
        <v>529200</v>
      </c>
      <c r="J138" s="189" t="s">
        <v>45</v>
      </c>
    </row>
    <row r="139" spans="2:10" ht="18.75" thickBot="1" x14ac:dyDescent="0.3">
      <c r="B139" s="189" t="s">
        <v>413</v>
      </c>
      <c r="C139" s="190" t="s">
        <v>414</v>
      </c>
      <c r="D139" s="186"/>
      <c r="E139" s="189" t="s">
        <v>404</v>
      </c>
      <c r="F139" s="189" t="s">
        <v>415</v>
      </c>
      <c r="G139" s="189">
        <v>307</v>
      </c>
      <c r="H139" s="189">
        <v>307</v>
      </c>
      <c r="I139" s="189">
        <v>6501000</v>
      </c>
      <c r="J139" s="189" t="s">
        <v>45</v>
      </c>
    </row>
    <row r="140" spans="2:10" ht="18.75" thickBot="1" x14ac:dyDescent="0.3">
      <c r="B140" s="189" t="s">
        <v>416</v>
      </c>
      <c r="C140" s="190" t="s">
        <v>417</v>
      </c>
      <c r="D140" s="186"/>
      <c r="E140" s="189" t="s">
        <v>38</v>
      </c>
      <c r="F140" s="189" t="s">
        <v>913</v>
      </c>
      <c r="G140" s="189">
        <v>1</v>
      </c>
      <c r="H140" s="189">
        <v>0</v>
      </c>
      <c r="I140" s="189">
        <v>5013</v>
      </c>
      <c r="J140" s="189" t="s">
        <v>45</v>
      </c>
    </row>
    <row r="141" spans="2:10" ht="19.5" thickBot="1" x14ac:dyDescent="0.3">
      <c r="B141" s="188" t="s">
        <v>418</v>
      </c>
      <c r="C141" s="187"/>
      <c r="D141" s="187"/>
      <c r="E141" s="187"/>
      <c r="F141" s="186"/>
      <c r="G141" s="185">
        <v>3585.1</v>
      </c>
      <c r="H141" s="185">
        <v>2248</v>
      </c>
      <c r="I141" s="185">
        <v>51241370.729999997</v>
      </c>
      <c r="J141" s="184"/>
    </row>
    <row r="142" spans="2:10" ht="18.75" thickBot="1" x14ac:dyDescent="0.3">
      <c r="B142" s="189" t="s">
        <v>419</v>
      </c>
      <c r="C142" s="190" t="s">
        <v>420</v>
      </c>
      <c r="D142" s="186"/>
      <c r="E142" s="189" t="s">
        <v>24</v>
      </c>
      <c r="F142" s="189" t="s">
        <v>421</v>
      </c>
      <c r="G142" s="189">
        <v>71</v>
      </c>
      <c r="H142" s="189">
        <v>0</v>
      </c>
      <c r="I142" s="189">
        <v>0</v>
      </c>
      <c r="J142" s="189" t="s">
        <v>35</v>
      </c>
    </row>
    <row r="143" spans="2:10" ht="18.75" thickBot="1" x14ac:dyDescent="0.3">
      <c r="B143" s="189"/>
      <c r="C143" s="190" t="s">
        <v>422</v>
      </c>
      <c r="D143" s="186"/>
      <c r="E143" s="189" t="s">
        <v>24</v>
      </c>
      <c r="F143" s="189" t="s">
        <v>331</v>
      </c>
      <c r="G143" s="189">
        <v>100</v>
      </c>
      <c r="H143" s="189">
        <v>0</v>
      </c>
      <c r="I143" s="189">
        <v>0</v>
      </c>
      <c r="J143" s="189" t="s">
        <v>423</v>
      </c>
    </row>
    <row r="144" spans="2:10" ht="18.75" thickBot="1" x14ac:dyDescent="0.3">
      <c r="B144" s="189" t="s">
        <v>424</v>
      </c>
      <c r="C144" s="190" t="s">
        <v>425</v>
      </c>
      <c r="D144" s="186"/>
      <c r="E144" s="189" t="s">
        <v>24</v>
      </c>
      <c r="F144" s="189" t="s">
        <v>110</v>
      </c>
      <c r="G144" s="189">
        <v>47</v>
      </c>
      <c r="H144" s="189">
        <v>0</v>
      </c>
      <c r="I144" s="189">
        <v>162669</v>
      </c>
      <c r="J144" s="189" t="s">
        <v>45</v>
      </c>
    </row>
    <row r="145" spans="2:10" ht="18.75" thickBot="1" x14ac:dyDescent="0.3">
      <c r="B145" s="189" t="s">
        <v>426</v>
      </c>
      <c r="C145" s="190" t="s">
        <v>427</v>
      </c>
      <c r="D145" s="186"/>
      <c r="E145" s="189" t="s">
        <v>24</v>
      </c>
      <c r="F145" s="189" t="s">
        <v>428</v>
      </c>
      <c r="G145" s="189">
        <v>66</v>
      </c>
      <c r="H145" s="189">
        <v>3</v>
      </c>
      <c r="I145" s="189">
        <v>83793</v>
      </c>
      <c r="J145" s="189" t="s">
        <v>45</v>
      </c>
    </row>
    <row r="146" spans="2:10" ht="18.75" thickBot="1" x14ac:dyDescent="0.3">
      <c r="B146" s="189" t="s">
        <v>429</v>
      </c>
      <c r="C146" s="190" t="s">
        <v>430</v>
      </c>
      <c r="D146" s="186"/>
      <c r="E146" s="189" t="s">
        <v>66</v>
      </c>
      <c r="F146" s="189" t="s">
        <v>431</v>
      </c>
      <c r="G146" s="189">
        <v>35.090000000000003</v>
      </c>
      <c r="H146" s="189">
        <v>0</v>
      </c>
      <c r="I146" s="189">
        <v>0</v>
      </c>
      <c r="J146" s="189" t="s">
        <v>52</v>
      </c>
    </row>
    <row r="147" spans="2:10" ht="18.75" thickBot="1" x14ac:dyDescent="0.3">
      <c r="B147" s="189" t="s">
        <v>432</v>
      </c>
      <c r="C147" s="190" t="s">
        <v>433</v>
      </c>
      <c r="D147" s="186"/>
      <c r="E147" s="189" t="s">
        <v>24</v>
      </c>
      <c r="F147" s="189" t="s">
        <v>434</v>
      </c>
      <c r="G147" s="189">
        <v>45.49</v>
      </c>
      <c r="H147" s="189">
        <v>0</v>
      </c>
      <c r="I147" s="189">
        <v>136390</v>
      </c>
      <c r="J147" s="189" t="s">
        <v>435</v>
      </c>
    </row>
    <row r="148" spans="2:10" ht="18.75" thickBot="1" x14ac:dyDescent="0.3">
      <c r="B148" s="189" t="s">
        <v>436</v>
      </c>
      <c r="C148" s="190" t="s">
        <v>437</v>
      </c>
      <c r="D148" s="186"/>
      <c r="E148" s="189" t="s">
        <v>365</v>
      </c>
      <c r="F148" s="189" t="s">
        <v>165</v>
      </c>
      <c r="G148" s="189">
        <v>214</v>
      </c>
      <c r="H148" s="189">
        <v>206</v>
      </c>
      <c r="I148" s="189">
        <v>4792364</v>
      </c>
      <c r="J148" s="189" t="s">
        <v>35</v>
      </c>
    </row>
    <row r="149" spans="2:10" ht="18.75" thickBot="1" x14ac:dyDescent="0.3">
      <c r="B149" s="189" t="s">
        <v>438</v>
      </c>
      <c r="C149" s="190" t="s">
        <v>439</v>
      </c>
      <c r="D149" s="186"/>
      <c r="E149" s="189" t="s">
        <v>365</v>
      </c>
      <c r="F149" s="189" t="s">
        <v>165</v>
      </c>
      <c r="G149" s="189">
        <v>220</v>
      </c>
      <c r="H149" s="189">
        <v>200</v>
      </c>
      <c r="I149" s="189">
        <v>4710745</v>
      </c>
      <c r="J149" s="189" t="s">
        <v>35</v>
      </c>
    </row>
    <row r="150" spans="2:10" ht="18.75" thickBot="1" x14ac:dyDescent="0.3">
      <c r="B150" s="189" t="s">
        <v>440</v>
      </c>
      <c r="C150" s="190" t="s">
        <v>441</v>
      </c>
      <c r="D150" s="186"/>
      <c r="E150" s="189" t="s">
        <v>365</v>
      </c>
      <c r="F150" s="189" t="s">
        <v>442</v>
      </c>
      <c r="G150" s="189">
        <v>220</v>
      </c>
      <c r="H150" s="189">
        <v>0</v>
      </c>
      <c r="I150" s="189">
        <v>0</v>
      </c>
      <c r="J150" s="189" t="s">
        <v>35</v>
      </c>
    </row>
    <row r="151" spans="2:10" ht="18.75" thickBot="1" x14ac:dyDescent="0.3">
      <c r="B151" s="189" t="s">
        <v>443</v>
      </c>
      <c r="C151" s="190" t="s">
        <v>444</v>
      </c>
      <c r="D151" s="186"/>
      <c r="E151" s="189" t="s">
        <v>365</v>
      </c>
      <c r="F151" s="189" t="s">
        <v>445</v>
      </c>
      <c r="G151" s="189">
        <v>413.79</v>
      </c>
      <c r="H151" s="189">
        <v>370</v>
      </c>
      <c r="I151" s="189">
        <v>8651345</v>
      </c>
      <c r="J151" s="189" t="s">
        <v>59</v>
      </c>
    </row>
    <row r="152" spans="2:10" ht="18.75" thickBot="1" x14ac:dyDescent="0.3">
      <c r="B152" s="189" t="s">
        <v>446</v>
      </c>
      <c r="C152" s="190" t="s">
        <v>447</v>
      </c>
      <c r="D152" s="186"/>
      <c r="E152" s="189" t="s">
        <v>24</v>
      </c>
      <c r="F152" s="189" t="s">
        <v>434</v>
      </c>
      <c r="G152" s="189">
        <v>46</v>
      </c>
      <c r="H152" s="189">
        <v>0</v>
      </c>
      <c r="I152" s="189">
        <v>0</v>
      </c>
      <c r="J152" s="189" t="s">
        <v>45</v>
      </c>
    </row>
    <row r="153" spans="2:10" ht="18.75" thickBot="1" x14ac:dyDescent="0.3">
      <c r="B153" s="189" t="s">
        <v>448</v>
      </c>
      <c r="C153" s="190" t="s">
        <v>449</v>
      </c>
      <c r="D153" s="186"/>
      <c r="E153" s="189" t="s">
        <v>70</v>
      </c>
      <c r="F153" s="189" t="s">
        <v>261</v>
      </c>
      <c r="G153" s="189">
        <v>11</v>
      </c>
      <c r="H153" s="189">
        <v>0</v>
      </c>
      <c r="I153" s="189">
        <v>0</v>
      </c>
      <c r="J153" s="189" t="s">
        <v>45</v>
      </c>
    </row>
    <row r="154" spans="2:10" ht="18.75" thickBot="1" x14ac:dyDescent="0.3">
      <c r="B154" s="189" t="s">
        <v>450</v>
      </c>
      <c r="C154" s="190" t="s">
        <v>451</v>
      </c>
      <c r="D154" s="186"/>
      <c r="E154" s="189" t="s">
        <v>38</v>
      </c>
      <c r="F154" s="189" t="s">
        <v>252</v>
      </c>
      <c r="G154" s="189">
        <v>52.2</v>
      </c>
      <c r="H154" s="189">
        <v>0</v>
      </c>
      <c r="I154" s="189">
        <v>176746</v>
      </c>
      <c r="J154" s="189" t="s">
        <v>45</v>
      </c>
    </row>
    <row r="155" spans="2:10" ht="18.75" thickBot="1" x14ac:dyDescent="0.3">
      <c r="B155" s="189" t="s">
        <v>452</v>
      </c>
      <c r="C155" s="190" t="s">
        <v>453</v>
      </c>
      <c r="D155" s="186"/>
      <c r="E155" s="189" t="s">
        <v>24</v>
      </c>
      <c r="F155" s="189" t="s">
        <v>84</v>
      </c>
      <c r="G155" s="189">
        <v>104</v>
      </c>
      <c r="H155" s="189">
        <v>0</v>
      </c>
      <c r="I155" s="189">
        <v>352480</v>
      </c>
      <c r="J155" s="189" t="s">
        <v>45</v>
      </c>
    </row>
    <row r="156" spans="2:10" ht="18.75" thickBot="1" x14ac:dyDescent="0.3">
      <c r="B156" s="189" t="s">
        <v>454</v>
      </c>
      <c r="C156" s="190" t="s">
        <v>455</v>
      </c>
      <c r="D156" s="186"/>
      <c r="E156" s="189" t="s">
        <v>38</v>
      </c>
      <c r="F156" s="189" t="s">
        <v>456</v>
      </c>
      <c r="G156" s="189">
        <v>113</v>
      </c>
      <c r="H156" s="189">
        <v>0</v>
      </c>
      <c r="I156" s="189">
        <v>1442592</v>
      </c>
      <c r="J156" s="189" t="s">
        <v>45</v>
      </c>
    </row>
    <row r="157" spans="2:10" ht="18.75" thickBot="1" x14ac:dyDescent="0.3">
      <c r="B157" s="189" t="s">
        <v>457</v>
      </c>
      <c r="C157" s="190" t="s">
        <v>458</v>
      </c>
      <c r="D157" s="186"/>
      <c r="E157" s="189" t="s">
        <v>38</v>
      </c>
      <c r="F157" s="189" t="s">
        <v>459</v>
      </c>
      <c r="G157" s="189">
        <v>113</v>
      </c>
      <c r="H157" s="189">
        <v>0</v>
      </c>
      <c r="I157" s="189">
        <v>743712</v>
      </c>
      <c r="J157" s="189" t="s">
        <v>45</v>
      </c>
    </row>
    <row r="158" spans="2:10" ht="18.75" thickBot="1" x14ac:dyDescent="0.3">
      <c r="B158" s="189" t="s">
        <v>460</v>
      </c>
      <c r="C158" s="190" t="s">
        <v>461</v>
      </c>
      <c r="D158" s="186"/>
      <c r="E158" s="189" t="s">
        <v>365</v>
      </c>
      <c r="F158" s="189" t="s">
        <v>913</v>
      </c>
      <c r="G158" s="189">
        <v>6.09</v>
      </c>
      <c r="H158" s="189">
        <v>0</v>
      </c>
      <c r="I158" s="189">
        <v>29040</v>
      </c>
      <c r="J158" s="189" t="s">
        <v>45</v>
      </c>
    </row>
    <row r="159" spans="2:10" ht="18.75" thickBot="1" x14ac:dyDescent="0.3">
      <c r="B159" s="189" t="s">
        <v>356</v>
      </c>
      <c r="C159" s="190" t="s">
        <v>462</v>
      </c>
      <c r="D159" s="186"/>
      <c r="E159" s="189" t="s">
        <v>263</v>
      </c>
      <c r="F159" s="189" t="s">
        <v>463</v>
      </c>
      <c r="G159" s="189">
        <v>1435.88</v>
      </c>
      <c r="H159" s="189">
        <v>1449</v>
      </c>
      <c r="I159" s="189">
        <v>33168454.059999999</v>
      </c>
      <c r="J159" s="189" t="s">
        <v>45</v>
      </c>
    </row>
    <row r="160" spans="2:10" ht="18.75" thickBot="1" x14ac:dyDescent="0.3">
      <c r="B160" s="189" t="s">
        <v>464</v>
      </c>
      <c r="C160" s="190" t="s">
        <v>465</v>
      </c>
      <c r="D160" s="186"/>
      <c r="E160" s="189" t="s">
        <v>38</v>
      </c>
      <c r="F160" s="189" t="s">
        <v>913</v>
      </c>
      <c r="G160" s="189">
        <v>68</v>
      </c>
      <c r="H160" s="189">
        <v>0</v>
      </c>
      <c r="I160" s="189">
        <v>355496</v>
      </c>
      <c r="J160" s="189" t="s">
        <v>45</v>
      </c>
    </row>
    <row r="161" spans="2:10" ht="18.75" thickBot="1" x14ac:dyDescent="0.3">
      <c r="B161" s="189"/>
      <c r="C161" s="190" t="s">
        <v>466</v>
      </c>
      <c r="D161" s="186"/>
      <c r="E161" s="189" t="s">
        <v>38</v>
      </c>
      <c r="F161" s="189" t="s">
        <v>913</v>
      </c>
      <c r="G161" s="189">
        <v>100</v>
      </c>
      <c r="H161" s="189">
        <v>0</v>
      </c>
      <c r="I161" s="189">
        <v>783450</v>
      </c>
      <c r="J161" s="189" t="s">
        <v>45</v>
      </c>
    </row>
    <row r="162" spans="2:10" ht="19.5" thickBot="1" x14ac:dyDescent="0.3">
      <c r="B162" s="188" t="s">
        <v>467</v>
      </c>
      <c r="C162" s="187"/>
      <c r="D162" s="187"/>
      <c r="E162" s="187"/>
      <c r="F162" s="186"/>
      <c r="G162" s="185">
        <v>3481.54</v>
      </c>
      <c r="H162" s="185">
        <v>2228</v>
      </c>
      <c r="I162" s="185">
        <v>55589276.060000002</v>
      </c>
      <c r="J162" s="184"/>
    </row>
    <row r="163" spans="2:10" ht="18.75" thickBot="1" x14ac:dyDescent="0.3">
      <c r="B163" s="189" t="s">
        <v>468</v>
      </c>
      <c r="C163" s="190" t="s">
        <v>469</v>
      </c>
      <c r="D163" s="186"/>
      <c r="E163" s="189" t="s">
        <v>24</v>
      </c>
      <c r="F163" s="189" t="s">
        <v>470</v>
      </c>
      <c r="G163" s="189">
        <v>170</v>
      </c>
      <c r="H163" s="189">
        <v>51</v>
      </c>
      <c r="I163" s="189">
        <v>1164218</v>
      </c>
      <c r="J163" s="189" t="s">
        <v>471</v>
      </c>
    </row>
    <row r="164" spans="2:10" ht="18.75" thickBot="1" x14ac:dyDescent="0.3">
      <c r="B164" s="189" t="s">
        <v>472</v>
      </c>
      <c r="C164" s="190" t="s">
        <v>473</v>
      </c>
      <c r="D164" s="186"/>
      <c r="E164" s="189" t="s">
        <v>24</v>
      </c>
      <c r="F164" s="189" t="s">
        <v>474</v>
      </c>
      <c r="G164" s="189">
        <v>274</v>
      </c>
      <c r="H164" s="189">
        <v>165</v>
      </c>
      <c r="I164" s="189">
        <v>4072000</v>
      </c>
      <c r="J164" s="189" t="s">
        <v>231</v>
      </c>
    </row>
    <row r="165" spans="2:10" ht="18.75" thickBot="1" x14ac:dyDescent="0.3">
      <c r="B165" s="189" t="s">
        <v>475</v>
      </c>
      <c r="C165" s="190" t="s">
        <v>476</v>
      </c>
      <c r="D165" s="186"/>
      <c r="E165" s="189" t="s">
        <v>24</v>
      </c>
      <c r="F165" s="189" t="s">
        <v>337</v>
      </c>
      <c r="G165" s="189">
        <v>20</v>
      </c>
      <c r="H165" s="189">
        <v>0</v>
      </c>
      <c r="I165" s="189">
        <v>0</v>
      </c>
      <c r="J165" s="189" t="s">
        <v>45</v>
      </c>
    </row>
    <row r="166" spans="2:10" ht="18.75" thickBot="1" x14ac:dyDescent="0.3">
      <c r="B166" s="189" t="s">
        <v>477</v>
      </c>
      <c r="C166" s="190" t="s">
        <v>478</v>
      </c>
      <c r="D166" s="186"/>
      <c r="E166" s="189" t="s">
        <v>24</v>
      </c>
      <c r="F166" s="189" t="s">
        <v>337</v>
      </c>
      <c r="G166" s="189">
        <v>20</v>
      </c>
      <c r="H166" s="189">
        <v>0</v>
      </c>
      <c r="I166" s="189">
        <v>0</v>
      </c>
      <c r="J166" s="189" t="s">
        <v>45</v>
      </c>
    </row>
    <row r="167" spans="2:10" ht="18.75" thickBot="1" x14ac:dyDescent="0.3">
      <c r="B167" s="189" t="s">
        <v>479</v>
      </c>
      <c r="C167" s="190" t="s">
        <v>480</v>
      </c>
      <c r="D167" s="186"/>
      <c r="E167" s="189" t="s">
        <v>38</v>
      </c>
      <c r="F167" s="189" t="s">
        <v>481</v>
      </c>
      <c r="G167" s="189">
        <v>113</v>
      </c>
      <c r="H167" s="189">
        <v>70</v>
      </c>
      <c r="I167" s="189">
        <v>1913664</v>
      </c>
      <c r="J167" s="189" t="s">
        <v>45</v>
      </c>
    </row>
    <row r="168" spans="2:10" ht="18.75" thickBot="1" x14ac:dyDescent="0.3">
      <c r="B168" s="189" t="s">
        <v>482</v>
      </c>
      <c r="C168" s="190" t="s">
        <v>483</v>
      </c>
      <c r="D168" s="186"/>
      <c r="E168" s="189" t="s">
        <v>38</v>
      </c>
      <c r="F168" s="189" t="s">
        <v>913</v>
      </c>
      <c r="G168" s="189">
        <v>8</v>
      </c>
      <c r="H168" s="189">
        <v>0</v>
      </c>
      <c r="I168" s="189">
        <v>47560.800000000003</v>
      </c>
      <c r="J168" s="189" t="s">
        <v>45</v>
      </c>
    </row>
    <row r="169" spans="2:10" ht="18.75" thickBot="1" x14ac:dyDescent="0.3">
      <c r="B169" s="189" t="s">
        <v>484</v>
      </c>
      <c r="C169" s="190" t="s">
        <v>485</v>
      </c>
      <c r="D169" s="186"/>
      <c r="E169" s="189" t="s">
        <v>38</v>
      </c>
      <c r="F169" s="189" t="s">
        <v>913</v>
      </c>
      <c r="G169" s="189">
        <v>115</v>
      </c>
      <c r="H169" s="189">
        <v>0</v>
      </c>
      <c r="I169" s="189">
        <v>1623495</v>
      </c>
      <c r="J169" s="189" t="s">
        <v>45</v>
      </c>
    </row>
    <row r="170" spans="2:10" ht="18.75" thickBot="1" x14ac:dyDescent="0.3">
      <c r="B170" s="189" t="s">
        <v>486</v>
      </c>
      <c r="C170" s="190" t="s">
        <v>487</v>
      </c>
      <c r="D170" s="186"/>
      <c r="E170" s="189" t="s">
        <v>38</v>
      </c>
      <c r="F170" s="189" t="s">
        <v>488</v>
      </c>
      <c r="G170" s="189">
        <v>30</v>
      </c>
      <c r="H170" s="189">
        <v>0</v>
      </c>
      <c r="I170" s="189">
        <v>227110</v>
      </c>
      <c r="J170" s="189" t="s">
        <v>45</v>
      </c>
    </row>
    <row r="171" spans="2:10" ht="18.75" thickBot="1" x14ac:dyDescent="0.3">
      <c r="B171" s="189" t="s">
        <v>489</v>
      </c>
      <c r="C171" s="190" t="s">
        <v>490</v>
      </c>
      <c r="D171" s="186"/>
      <c r="E171" s="189" t="s">
        <v>404</v>
      </c>
      <c r="F171" s="189" t="s">
        <v>913</v>
      </c>
      <c r="G171" s="189">
        <v>200</v>
      </c>
      <c r="H171" s="189">
        <v>0</v>
      </c>
      <c r="I171" s="189">
        <v>1355760</v>
      </c>
      <c r="J171" s="189" t="s">
        <v>45</v>
      </c>
    </row>
    <row r="172" spans="2:10" ht="19.5" thickBot="1" x14ac:dyDescent="0.3">
      <c r="B172" s="188" t="s">
        <v>491</v>
      </c>
      <c r="C172" s="187"/>
      <c r="D172" s="187"/>
      <c r="E172" s="187"/>
      <c r="F172" s="186"/>
      <c r="G172" s="185">
        <v>950</v>
      </c>
      <c r="H172" s="185">
        <v>286</v>
      </c>
      <c r="I172" s="185">
        <v>10403807.800000001</v>
      </c>
      <c r="J172" s="184"/>
    </row>
    <row r="173" spans="2:10" ht="19.5" thickBot="1" x14ac:dyDescent="0.3">
      <c r="B173" s="188" t="s">
        <v>912</v>
      </c>
      <c r="C173" s="187"/>
      <c r="D173" s="187"/>
      <c r="E173" s="187"/>
      <c r="F173" s="186"/>
      <c r="G173" s="185">
        <v>16921.241999999998</v>
      </c>
      <c r="H173" s="185">
        <v>7872.5</v>
      </c>
      <c r="I173" s="185">
        <v>188965414.31</v>
      </c>
      <c r="J173" s="184"/>
    </row>
    <row r="174" spans="2:10" ht="19.5" thickBot="1" x14ac:dyDescent="0.3">
      <c r="B174" s="188" t="s">
        <v>911</v>
      </c>
      <c r="C174" s="187"/>
      <c r="D174" s="187"/>
      <c r="E174" s="187"/>
      <c r="F174" s="186"/>
      <c r="G174" s="185">
        <v>11702.84</v>
      </c>
      <c r="H174" s="185">
        <v>7172</v>
      </c>
      <c r="I174" s="185">
        <v>168790155.59</v>
      </c>
      <c r="J174" s="184"/>
    </row>
    <row r="175" spans="2:10" ht="19.5" thickBot="1" x14ac:dyDescent="0.3">
      <c r="B175" s="188" t="s">
        <v>653</v>
      </c>
      <c r="C175" s="187"/>
      <c r="D175" s="187"/>
      <c r="E175" s="187"/>
      <c r="F175" s="186"/>
      <c r="G175" s="185">
        <v>28624.081999999999</v>
      </c>
      <c r="H175" s="185">
        <v>15044.5</v>
      </c>
      <c r="I175" s="185">
        <v>357755569.89999998</v>
      </c>
      <c r="J175" s="184"/>
    </row>
    <row r="177" spans="2:10" ht="19.5" thickBot="1" x14ac:dyDescent="0.3">
      <c r="B177" s="183" t="s">
        <v>910</v>
      </c>
    </row>
    <row r="178" spans="2:10" ht="18.75" x14ac:dyDescent="0.25">
      <c r="B178" s="182"/>
    </row>
    <row r="179" spans="2:10" ht="18.75" x14ac:dyDescent="0.25">
      <c r="B179" s="182"/>
    </row>
    <row r="180" spans="2:10" ht="18.75" x14ac:dyDescent="0.25">
      <c r="B180" s="182"/>
    </row>
    <row r="182" spans="2:10" ht="20.25" x14ac:dyDescent="0.25">
      <c r="H182" s="181" t="s">
        <v>521</v>
      </c>
      <c r="I182" s="63"/>
      <c r="J182" s="63"/>
    </row>
    <row r="183" spans="2:10" ht="20.25" x14ac:dyDescent="0.25">
      <c r="H183" s="181" t="s">
        <v>522</v>
      </c>
      <c r="I183" s="63"/>
      <c r="J183" s="63"/>
    </row>
  </sheetData>
  <mergeCells count="181">
    <mergeCell ref="C7:D9"/>
    <mergeCell ref="E7:E9"/>
    <mergeCell ref="F7:F9"/>
    <mergeCell ref="G7:G9"/>
    <mergeCell ref="H7:H9"/>
    <mergeCell ref="D3:I3"/>
    <mergeCell ref="D4:I4"/>
    <mergeCell ref="C17:D17"/>
    <mergeCell ref="C18:D18"/>
    <mergeCell ref="C19:D19"/>
    <mergeCell ref="D2:I2"/>
    <mergeCell ref="B2:C5"/>
    <mergeCell ref="B1:J1"/>
    <mergeCell ref="C10:D10"/>
    <mergeCell ref="I7:I9"/>
    <mergeCell ref="J7:J9"/>
    <mergeCell ref="B7:B9"/>
    <mergeCell ref="C11:D11"/>
    <mergeCell ref="C12:D12"/>
    <mergeCell ref="C13:D13"/>
    <mergeCell ref="C14:D14"/>
    <mergeCell ref="C15:D15"/>
    <mergeCell ref="C16:D16"/>
    <mergeCell ref="C37:D37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45:D45"/>
    <mergeCell ref="C46:D46"/>
    <mergeCell ref="C29:D29"/>
    <mergeCell ref="C30:D30"/>
    <mergeCell ref="C31:D31"/>
    <mergeCell ref="C32:D32"/>
    <mergeCell ref="C33:D33"/>
    <mergeCell ref="C34:D34"/>
    <mergeCell ref="C35:D35"/>
    <mergeCell ref="C36:D36"/>
    <mergeCell ref="C53:D53"/>
    <mergeCell ref="C54:D54"/>
    <mergeCell ref="C55:D55"/>
    <mergeCell ref="C38:D38"/>
    <mergeCell ref="C39:D39"/>
    <mergeCell ref="C40:D40"/>
    <mergeCell ref="C41:D41"/>
    <mergeCell ref="C42:D42"/>
    <mergeCell ref="C43:D43"/>
    <mergeCell ref="C44:D44"/>
    <mergeCell ref="C47:D47"/>
    <mergeCell ref="C48:D48"/>
    <mergeCell ref="B49:F49"/>
    <mergeCell ref="C50:D50"/>
    <mergeCell ref="C51:D51"/>
    <mergeCell ref="C52:D52"/>
    <mergeCell ref="B73:F73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81:D81"/>
    <mergeCell ref="C82:D82"/>
    <mergeCell ref="C65:D65"/>
    <mergeCell ref="C66:D66"/>
    <mergeCell ref="C67:D67"/>
    <mergeCell ref="C68:D68"/>
    <mergeCell ref="C69:D69"/>
    <mergeCell ref="C70:D70"/>
    <mergeCell ref="C71:D71"/>
    <mergeCell ref="C72:D72"/>
    <mergeCell ref="C89:D89"/>
    <mergeCell ref="C90:D90"/>
    <mergeCell ref="C91:D91"/>
    <mergeCell ref="C74:D74"/>
    <mergeCell ref="C75:D75"/>
    <mergeCell ref="C76:D76"/>
    <mergeCell ref="C77:D77"/>
    <mergeCell ref="C78:D78"/>
    <mergeCell ref="C79:D79"/>
    <mergeCell ref="C80:D80"/>
    <mergeCell ref="C83:D83"/>
    <mergeCell ref="C84:D84"/>
    <mergeCell ref="C85:D85"/>
    <mergeCell ref="C86:D86"/>
    <mergeCell ref="C87:D87"/>
    <mergeCell ref="C88:D88"/>
    <mergeCell ref="C109:D109"/>
    <mergeCell ref="C92:D92"/>
    <mergeCell ref="C93:D93"/>
    <mergeCell ref="B94:F94"/>
    <mergeCell ref="C95:D95"/>
    <mergeCell ref="C96:D96"/>
    <mergeCell ref="C97:D97"/>
    <mergeCell ref="C98:D98"/>
    <mergeCell ref="C99:D99"/>
    <mergeCell ref="C100:D100"/>
    <mergeCell ref="C117:D117"/>
    <mergeCell ref="B118:F118"/>
    <mergeCell ref="C101:D101"/>
    <mergeCell ref="B102:F102"/>
    <mergeCell ref="C103:D103"/>
    <mergeCell ref="C104:D104"/>
    <mergeCell ref="C105:D105"/>
    <mergeCell ref="C106:D106"/>
    <mergeCell ref="C107:D107"/>
    <mergeCell ref="C108:D108"/>
    <mergeCell ref="C125:D125"/>
    <mergeCell ref="C126:D126"/>
    <mergeCell ref="C127:D127"/>
    <mergeCell ref="C110:D110"/>
    <mergeCell ref="C111:D111"/>
    <mergeCell ref="C112:D112"/>
    <mergeCell ref="C113:D113"/>
    <mergeCell ref="C114:D114"/>
    <mergeCell ref="C115:D115"/>
    <mergeCell ref="C116:D116"/>
    <mergeCell ref="C119:D119"/>
    <mergeCell ref="C120:D120"/>
    <mergeCell ref="C121:D121"/>
    <mergeCell ref="C122:D122"/>
    <mergeCell ref="C123:D123"/>
    <mergeCell ref="C124:D124"/>
    <mergeCell ref="C145:D145"/>
    <mergeCell ref="C128:D128"/>
    <mergeCell ref="C129:D129"/>
    <mergeCell ref="C130:D130"/>
    <mergeCell ref="B131:F131"/>
    <mergeCell ref="C132:D132"/>
    <mergeCell ref="C133:D133"/>
    <mergeCell ref="C134:D134"/>
    <mergeCell ref="C135:D135"/>
    <mergeCell ref="C136:D136"/>
    <mergeCell ref="C153:D153"/>
    <mergeCell ref="C154:D154"/>
    <mergeCell ref="C137:D137"/>
    <mergeCell ref="C138:D138"/>
    <mergeCell ref="C139:D139"/>
    <mergeCell ref="C140:D140"/>
    <mergeCell ref="B141:F141"/>
    <mergeCell ref="C142:D142"/>
    <mergeCell ref="C143:D143"/>
    <mergeCell ref="C144:D144"/>
    <mergeCell ref="C161:D161"/>
    <mergeCell ref="B162:F162"/>
    <mergeCell ref="C163:D163"/>
    <mergeCell ref="C146:D146"/>
    <mergeCell ref="C147:D147"/>
    <mergeCell ref="C148:D148"/>
    <mergeCell ref="C149:D149"/>
    <mergeCell ref="C150:D150"/>
    <mergeCell ref="C151:D151"/>
    <mergeCell ref="C152:D152"/>
    <mergeCell ref="C169:D169"/>
    <mergeCell ref="C170:D170"/>
    <mergeCell ref="C171:D171"/>
    <mergeCell ref="B172:F172"/>
    <mergeCell ref="C155:D155"/>
    <mergeCell ref="C156:D156"/>
    <mergeCell ref="C157:D157"/>
    <mergeCell ref="C158:D158"/>
    <mergeCell ref="C159:D159"/>
    <mergeCell ref="C160:D160"/>
    <mergeCell ref="B173:F173"/>
    <mergeCell ref="B174:F174"/>
    <mergeCell ref="B175:F175"/>
    <mergeCell ref="H182:J182"/>
    <mergeCell ref="H183:J183"/>
    <mergeCell ref="C164:D164"/>
    <mergeCell ref="C165:D165"/>
    <mergeCell ref="C166:D166"/>
    <mergeCell ref="C167:D167"/>
    <mergeCell ref="C168:D168"/>
  </mergeCells>
  <pageMargins left="0.2" right="0.2" top="0.46291666666666698" bottom="0.05" header="0.3" footer="0.3"/>
  <pageSetup paperSize="9" scale="44" orientation="portrait" r:id="rId1"/>
  <headerFooter>
    <oddHeader>&amp;R&amp;"Arial,Bold"&amp;14 QF-LDC-08(Sheet-2)
page &amp;P of &amp;N</oddHeader>
  </headerFooter>
  <rowBreaks count="1" manualBreakCount="1">
    <brk id="10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E551-472D-484F-8453-95D2358F5D6B}">
  <dimension ref="A1:P99"/>
  <sheetViews>
    <sheetView topLeftCell="A48" zoomScale="115" zoomScaleNormal="115" workbookViewId="0">
      <selection activeCell="L47" sqref="L47"/>
    </sheetView>
  </sheetViews>
  <sheetFormatPr defaultRowHeight="15" x14ac:dyDescent="0.25"/>
  <cols>
    <col min="1" max="1" width="9.140625" style="31" customWidth="1"/>
    <col min="2" max="2" width="7.28515625" style="31" customWidth="1"/>
    <col min="3" max="3" width="28.7109375" style="31" customWidth="1"/>
    <col min="4" max="5" width="13.28515625" style="31" customWidth="1"/>
    <col min="6" max="6" width="7.28515625" style="31" customWidth="1"/>
    <col min="7" max="7" width="28.7109375" style="31" customWidth="1"/>
    <col min="8" max="9" width="13.28515625" style="31" customWidth="1"/>
    <col min="10" max="10" width="7.28515625" style="31" customWidth="1"/>
    <col min="11" max="11" width="28.7109375" style="31" customWidth="1"/>
    <col min="12" max="13" width="13.28515625" style="31" customWidth="1"/>
    <col min="14" max="16384" width="9.140625" style="31"/>
  </cols>
  <sheetData>
    <row r="1" spans="1:14" ht="21" customHeight="1" x14ac:dyDescent="0.25">
      <c r="A1" s="13"/>
      <c r="B1" s="13"/>
      <c r="C1" s="62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4" ht="26.25" customHeight="1" x14ac:dyDescent="0.25">
      <c r="A2" s="13"/>
      <c r="B2" s="13"/>
      <c r="C2" s="2"/>
      <c r="D2" s="2"/>
      <c r="E2" s="180" t="s">
        <v>0</v>
      </c>
      <c r="F2" s="63"/>
      <c r="G2" s="63"/>
      <c r="H2" s="63"/>
      <c r="I2" s="63"/>
      <c r="J2" s="63"/>
      <c r="K2" s="63"/>
      <c r="L2" s="2"/>
      <c r="M2" s="2"/>
    </row>
    <row r="3" spans="1:14" ht="20.25" customHeight="1" x14ac:dyDescent="0.25">
      <c r="A3" s="13"/>
      <c r="B3" s="13"/>
      <c r="C3" s="2"/>
      <c r="D3" s="2"/>
      <c r="E3" s="179" t="s">
        <v>1</v>
      </c>
      <c r="F3" s="63"/>
      <c r="G3" s="63"/>
      <c r="H3" s="63"/>
      <c r="I3" s="63"/>
      <c r="J3" s="63"/>
      <c r="K3" s="63"/>
      <c r="L3" s="2"/>
      <c r="M3" s="2"/>
    </row>
    <row r="4" spans="1:14" ht="20.25" customHeight="1" x14ac:dyDescent="0.25">
      <c r="A4" s="13"/>
      <c r="B4" s="13"/>
      <c r="C4" s="2"/>
      <c r="D4" s="2"/>
      <c r="E4" s="179" t="s">
        <v>1150</v>
      </c>
      <c r="F4" s="63"/>
      <c r="G4" s="63"/>
      <c r="H4" s="63"/>
      <c r="I4" s="63"/>
      <c r="J4" s="63"/>
      <c r="K4" s="63"/>
      <c r="L4" s="2"/>
      <c r="M4" s="2"/>
    </row>
    <row r="5" spans="1:14" ht="20.25" customHeight="1" x14ac:dyDescent="0.25">
      <c r="A5" s="13"/>
      <c r="B5" s="13"/>
      <c r="C5" s="2"/>
      <c r="D5" s="2"/>
      <c r="E5" s="3"/>
      <c r="F5" s="3"/>
      <c r="G5" s="3"/>
      <c r="H5" s="3"/>
      <c r="I5" s="3"/>
      <c r="J5" s="3"/>
      <c r="K5" s="3"/>
      <c r="L5" s="3"/>
    </row>
    <row r="6" spans="1:14" ht="18" customHeight="1" x14ac:dyDescent="0.25">
      <c r="A6" s="13"/>
      <c r="B6" s="13"/>
      <c r="C6" s="7" t="s">
        <v>3</v>
      </c>
      <c r="D6" s="243" t="s">
        <v>15</v>
      </c>
      <c r="E6" s="63"/>
      <c r="F6" s="33"/>
      <c r="G6" s="177"/>
      <c r="H6" s="200"/>
      <c r="I6" s="200"/>
      <c r="J6" s="200"/>
      <c r="K6" s="176"/>
      <c r="L6" s="176"/>
      <c r="M6" s="176"/>
    </row>
    <row r="7" spans="1:14" ht="18.75" customHeight="1" thickBot="1" x14ac:dyDescent="0.3">
      <c r="A7" s="13"/>
      <c r="B7" s="7"/>
      <c r="C7" s="13"/>
      <c r="D7" s="174" t="s">
        <v>1149</v>
      </c>
      <c r="E7" s="173"/>
      <c r="F7" s="173"/>
      <c r="G7" s="173"/>
      <c r="H7" s="173"/>
      <c r="I7" s="173"/>
      <c r="J7" s="173"/>
      <c r="K7" s="173"/>
      <c r="L7" s="242"/>
      <c r="M7" s="163"/>
    </row>
    <row r="8" spans="1:14" ht="18.75" customHeight="1" thickBot="1" x14ac:dyDescent="0.3">
      <c r="A8" s="13"/>
      <c r="B8" s="239" t="s">
        <v>1148</v>
      </c>
      <c r="C8" s="85"/>
      <c r="D8" s="85"/>
      <c r="E8" s="241">
        <v>9785.7800000000007</v>
      </c>
      <c r="F8" s="85"/>
      <c r="G8" s="240" t="s">
        <v>20</v>
      </c>
      <c r="H8" s="239" t="s">
        <v>1147</v>
      </c>
      <c r="I8" s="85"/>
      <c r="J8" s="85"/>
      <c r="K8" s="85"/>
      <c r="L8" s="238">
        <v>4830.1000000000004</v>
      </c>
      <c r="M8" s="237" t="s">
        <v>20</v>
      </c>
    </row>
    <row r="9" spans="1:14" ht="18.75" customHeight="1" thickBot="1" x14ac:dyDescent="0.3">
      <c r="A9" s="13"/>
      <c r="B9" s="157" t="s">
        <v>1146</v>
      </c>
      <c r="C9" s="85"/>
      <c r="D9" s="61"/>
      <c r="E9" s="236">
        <v>5340.69</v>
      </c>
      <c r="F9" s="61"/>
      <c r="G9" s="235" t="s">
        <v>20</v>
      </c>
      <c r="H9" s="157" t="s">
        <v>1145</v>
      </c>
      <c r="I9" s="85"/>
      <c r="J9" s="85"/>
      <c r="K9" s="61"/>
      <c r="L9" s="234">
        <v>1981.8</v>
      </c>
      <c r="M9" s="233" t="s">
        <v>20</v>
      </c>
    </row>
    <row r="10" spans="1:14" ht="18.75" customHeight="1" thickBot="1" x14ac:dyDescent="0.3">
      <c r="A10" s="13"/>
      <c r="B10" s="157" t="s">
        <v>1144</v>
      </c>
      <c r="C10" s="85"/>
      <c r="D10" s="61"/>
      <c r="E10" s="232">
        <v>1542</v>
      </c>
      <c r="F10" s="61"/>
      <c r="G10" s="235" t="s">
        <v>20</v>
      </c>
      <c r="H10" s="157" t="s">
        <v>1143</v>
      </c>
      <c r="I10" s="85"/>
      <c r="J10" s="85"/>
      <c r="K10" s="61"/>
      <c r="L10" s="234">
        <v>522.1</v>
      </c>
      <c r="M10" s="233" t="s">
        <v>20</v>
      </c>
    </row>
    <row r="11" spans="1:14" ht="18.75" customHeight="1" thickBot="1" x14ac:dyDescent="0.3">
      <c r="A11" s="13"/>
      <c r="B11" s="157" t="s">
        <v>1142</v>
      </c>
      <c r="C11" s="85"/>
      <c r="D11" s="61"/>
      <c r="E11" s="232">
        <v>1385.09</v>
      </c>
      <c r="F11" s="61"/>
      <c r="G11" s="235" t="s">
        <v>20</v>
      </c>
      <c r="H11" s="157" t="s">
        <v>1141</v>
      </c>
      <c r="I11" s="85"/>
      <c r="J11" s="85"/>
      <c r="K11" s="61"/>
      <c r="L11" s="234">
        <v>1617.2</v>
      </c>
      <c r="M11" s="233" t="s">
        <v>20</v>
      </c>
    </row>
    <row r="12" spans="1:14" ht="18.75" customHeight="1" thickBot="1" x14ac:dyDescent="0.3">
      <c r="A12" s="13"/>
      <c r="B12" s="157" t="s">
        <v>1140</v>
      </c>
      <c r="C12" s="85"/>
      <c r="D12" s="61"/>
      <c r="E12" s="232">
        <v>1075</v>
      </c>
      <c r="F12" s="61"/>
      <c r="G12" s="235" t="s">
        <v>20</v>
      </c>
      <c r="H12" s="157" t="s">
        <v>1139</v>
      </c>
      <c r="I12" s="85"/>
      <c r="J12" s="85"/>
      <c r="K12" s="61"/>
      <c r="L12" s="234">
        <v>709</v>
      </c>
      <c r="M12" s="233" t="s">
        <v>20</v>
      </c>
    </row>
    <row r="13" spans="1:14" ht="18.75" customHeight="1" thickBot="1" x14ac:dyDescent="0.3">
      <c r="A13" s="13"/>
      <c r="B13" s="157" t="s">
        <v>1138</v>
      </c>
      <c r="C13" s="85"/>
      <c r="D13" s="61"/>
      <c r="E13" s="232">
        <v>443</v>
      </c>
      <c r="F13" s="61"/>
      <c r="G13" s="231" t="s">
        <v>20</v>
      </c>
      <c r="H13" s="230"/>
      <c r="I13" s="85"/>
      <c r="J13" s="85"/>
      <c r="K13" s="61"/>
      <c r="L13" s="229"/>
      <c r="M13" s="228"/>
      <c r="N13" s="32"/>
    </row>
    <row r="14" spans="1:14" ht="18.75" customHeight="1" thickBot="1" x14ac:dyDescent="0.3">
      <c r="A14" s="13"/>
      <c r="B14" s="227" t="s">
        <v>1137</v>
      </c>
      <c r="C14" s="85"/>
      <c r="D14" s="85"/>
      <c r="E14" s="85"/>
      <c r="F14" s="85"/>
      <c r="G14" s="85"/>
      <c r="H14" s="226">
        <v>14615.88</v>
      </c>
      <c r="I14" s="225" t="s">
        <v>20</v>
      </c>
      <c r="J14" s="224"/>
      <c r="K14" s="223"/>
      <c r="L14" s="223"/>
      <c r="M14" s="222"/>
      <c r="N14" s="32"/>
    </row>
    <row r="15" spans="1:14" ht="18" customHeight="1" x14ac:dyDescent="0.25">
      <c r="A15" s="13"/>
      <c r="B15" s="13"/>
      <c r="C15" s="191"/>
      <c r="D15" s="191"/>
      <c r="E15" s="191"/>
      <c r="F15" s="221"/>
      <c r="G15" s="220"/>
      <c r="H15" s="219"/>
      <c r="I15" s="191"/>
      <c r="J15" s="191"/>
      <c r="K15" s="191"/>
      <c r="L15" s="218"/>
      <c r="M15" s="217"/>
    </row>
    <row r="16" spans="1:14" ht="33.75" customHeight="1" x14ac:dyDescent="0.25">
      <c r="A16" s="13"/>
      <c r="B16" s="216" t="s">
        <v>1136</v>
      </c>
      <c r="C16" s="216" t="s">
        <v>1135</v>
      </c>
      <c r="D16" s="216" t="s">
        <v>1134</v>
      </c>
      <c r="E16" s="216" t="s">
        <v>1133</v>
      </c>
      <c r="F16" s="216" t="s">
        <v>1136</v>
      </c>
      <c r="G16" s="216" t="s">
        <v>1135</v>
      </c>
      <c r="H16" s="216" t="s">
        <v>1134</v>
      </c>
      <c r="I16" s="216" t="s">
        <v>1133</v>
      </c>
      <c r="J16" s="216" t="s">
        <v>1136</v>
      </c>
      <c r="K16" s="216" t="s">
        <v>1135</v>
      </c>
      <c r="L16" s="216" t="s">
        <v>1134</v>
      </c>
      <c r="M16" s="216" t="s">
        <v>1133</v>
      </c>
    </row>
    <row r="17" spans="1:13" ht="15" customHeight="1" x14ac:dyDescent="0.25">
      <c r="A17" s="191"/>
      <c r="B17" s="212">
        <v>1</v>
      </c>
      <c r="C17" s="215" t="s">
        <v>1132</v>
      </c>
      <c r="D17" s="214">
        <v>0</v>
      </c>
      <c r="E17" s="214" t="s">
        <v>549</v>
      </c>
      <c r="F17" s="212">
        <v>67</v>
      </c>
      <c r="G17" s="215" t="s">
        <v>1131</v>
      </c>
      <c r="H17" s="214">
        <v>91</v>
      </c>
      <c r="I17" s="214" t="s">
        <v>528</v>
      </c>
      <c r="J17" s="212">
        <v>133</v>
      </c>
      <c r="K17" s="215" t="s">
        <v>1130</v>
      </c>
      <c r="L17" s="214">
        <v>80</v>
      </c>
      <c r="M17" s="214" t="s">
        <v>548</v>
      </c>
    </row>
    <row r="18" spans="1:13" ht="15" customHeight="1" x14ac:dyDescent="0.25">
      <c r="B18" s="212">
        <v>2</v>
      </c>
      <c r="C18" s="215" t="s">
        <v>1129</v>
      </c>
      <c r="D18" s="214">
        <v>106</v>
      </c>
      <c r="E18" s="214" t="s">
        <v>541</v>
      </c>
      <c r="F18" s="212">
        <v>68</v>
      </c>
      <c r="G18" s="215" t="s">
        <v>1128</v>
      </c>
      <c r="H18" s="214">
        <v>66</v>
      </c>
      <c r="I18" s="214" t="s">
        <v>534</v>
      </c>
      <c r="J18" s="212">
        <v>134</v>
      </c>
      <c r="K18" s="215" t="s">
        <v>1127</v>
      </c>
      <c r="L18" s="214">
        <v>38</v>
      </c>
      <c r="M18" s="214" t="s">
        <v>549</v>
      </c>
    </row>
    <row r="19" spans="1:13" ht="18" customHeight="1" x14ac:dyDescent="0.25">
      <c r="B19" s="212">
        <v>3</v>
      </c>
      <c r="C19" s="215" t="s">
        <v>1126</v>
      </c>
      <c r="D19" s="214">
        <v>46</v>
      </c>
      <c r="E19" s="214" t="s">
        <v>549</v>
      </c>
      <c r="F19" s="212">
        <v>69</v>
      </c>
      <c r="G19" s="215" t="s">
        <v>1125</v>
      </c>
      <c r="H19" s="214">
        <v>129</v>
      </c>
      <c r="I19" s="214" t="s">
        <v>532</v>
      </c>
      <c r="J19" s="212">
        <v>135</v>
      </c>
      <c r="K19" s="215" t="s">
        <v>1124</v>
      </c>
      <c r="L19" s="214">
        <v>67</v>
      </c>
      <c r="M19" s="214" t="s">
        <v>532</v>
      </c>
    </row>
    <row r="20" spans="1:13" ht="18" customHeight="1" x14ac:dyDescent="0.25">
      <c r="B20" s="212">
        <v>4</v>
      </c>
      <c r="C20" s="215" t="s">
        <v>1123</v>
      </c>
      <c r="D20" s="214">
        <v>147</v>
      </c>
      <c r="E20" s="214" t="s">
        <v>549</v>
      </c>
      <c r="F20" s="212">
        <v>70</v>
      </c>
      <c r="G20" s="215" t="s">
        <v>1122</v>
      </c>
      <c r="H20" s="214">
        <v>149</v>
      </c>
      <c r="I20" s="214" t="s">
        <v>549</v>
      </c>
      <c r="J20" s="212">
        <v>136</v>
      </c>
      <c r="K20" s="215" t="s">
        <v>1121</v>
      </c>
      <c r="L20" s="214">
        <v>24</v>
      </c>
      <c r="M20" s="214" t="s">
        <v>549</v>
      </c>
    </row>
    <row r="21" spans="1:13" ht="18" customHeight="1" x14ac:dyDescent="0.25">
      <c r="B21" s="212">
        <v>5</v>
      </c>
      <c r="C21" s="215" t="s">
        <v>1120</v>
      </c>
      <c r="D21" s="214">
        <v>106</v>
      </c>
      <c r="E21" s="214" t="s">
        <v>529</v>
      </c>
      <c r="F21" s="212">
        <v>71</v>
      </c>
      <c r="G21" s="215" t="s">
        <v>1119</v>
      </c>
      <c r="H21" s="214">
        <v>154</v>
      </c>
      <c r="I21" s="214" t="s">
        <v>528</v>
      </c>
      <c r="J21" s="212">
        <v>137</v>
      </c>
      <c r="K21" s="215" t="s">
        <v>1118</v>
      </c>
      <c r="L21" s="214">
        <v>142</v>
      </c>
      <c r="M21" s="214" t="s">
        <v>534</v>
      </c>
    </row>
    <row r="22" spans="1:13" ht="18" customHeight="1" x14ac:dyDescent="0.25">
      <c r="B22" s="212">
        <v>6</v>
      </c>
      <c r="C22" s="215" t="s">
        <v>1117</v>
      </c>
      <c r="D22" s="214">
        <v>48</v>
      </c>
      <c r="E22" s="214" t="s">
        <v>535</v>
      </c>
      <c r="F22" s="212">
        <v>72</v>
      </c>
      <c r="G22" s="215" t="s">
        <v>1116</v>
      </c>
      <c r="H22" s="214">
        <v>160</v>
      </c>
      <c r="I22" s="214" t="s">
        <v>529</v>
      </c>
      <c r="J22" s="212">
        <v>138</v>
      </c>
      <c r="K22" s="215" t="s">
        <v>1115</v>
      </c>
      <c r="L22" s="214">
        <v>32</v>
      </c>
      <c r="M22" s="214" t="s">
        <v>529</v>
      </c>
    </row>
    <row r="23" spans="1:13" ht="18" customHeight="1" x14ac:dyDescent="0.25">
      <c r="B23" s="212">
        <v>7</v>
      </c>
      <c r="C23" s="215" t="s">
        <v>1114</v>
      </c>
      <c r="D23" s="214">
        <v>94</v>
      </c>
      <c r="E23" s="214" t="s">
        <v>546</v>
      </c>
      <c r="F23" s="212">
        <v>73</v>
      </c>
      <c r="G23" s="215" t="s">
        <v>1113</v>
      </c>
      <c r="H23" s="214">
        <v>80</v>
      </c>
      <c r="I23" s="214" t="s">
        <v>547</v>
      </c>
      <c r="J23" s="212">
        <v>139</v>
      </c>
      <c r="K23" s="215" t="s">
        <v>1112</v>
      </c>
      <c r="L23" s="214">
        <v>57</v>
      </c>
      <c r="M23" s="214" t="s">
        <v>534</v>
      </c>
    </row>
    <row r="24" spans="1:13" ht="18" customHeight="1" x14ac:dyDescent="0.25">
      <c r="B24" s="212">
        <v>8</v>
      </c>
      <c r="C24" s="215" t="s">
        <v>1111</v>
      </c>
      <c r="D24" s="214">
        <v>197</v>
      </c>
      <c r="E24" s="214" t="s">
        <v>527</v>
      </c>
      <c r="F24" s="212">
        <v>74</v>
      </c>
      <c r="G24" s="215" t="s">
        <v>1110</v>
      </c>
      <c r="H24" s="214">
        <v>18</v>
      </c>
      <c r="I24" s="214" t="s">
        <v>548</v>
      </c>
      <c r="J24" s="212">
        <v>140</v>
      </c>
      <c r="K24" s="215" t="s">
        <v>1109</v>
      </c>
      <c r="L24" s="214">
        <v>95</v>
      </c>
      <c r="M24" s="214" t="s">
        <v>528</v>
      </c>
    </row>
    <row r="25" spans="1:13" ht="18" customHeight="1" x14ac:dyDescent="0.25">
      <c r="B25" s="212">
        <v>9</v>
      </c>
      <c r="C25" s="215" t="s">
        <v>1108</v>
      </c>
      <c r="D25" s="214">
        <v>86</v>
      </c>
      <c r="E25" s="214" t="s">
        <v>549</v>
      </c>
      <c r="F25" s="212">
        <v>75</v>
      </c>
      <c r="G25" s="215" t="s">
        <v>1107</v>
      </c>
      <c r="H25" s="214">
        <v>27</v>
      </c>
      <c r="I25" s="214" t="s">
        <v>527</v>
      </c>
      <c r="J25" s="212">
        <v>141</v>
      </c>
      <c r="K25" s="215" t="s">
        <v>1106</v>
      </c>
      <c r="L25" s="214">
        <v>146</v>
      </c>
      <c r="M25" s="214" t="s">
        <v>533</v>
      </c>
    </row>
    <row r="26" spans="1:13" ht="18" customHeight="1" x14ac:dyDescent="0.25">
      <c r="B26" s="212">
        <v>10</v>
      </c>
      <c r="C26" s="215" t="s">
        <v>1105</v>
      </c>
      <c r="D26" s="214">
        <v>55</v>
      </c>
      <c r="E26" s="214" t="s">
        <v>549</v>
      </c>
      <c r="F26" s="212">
        <v>76</v>
      </c>
      <c r="G26" s="215" t="s">
        <v>1104</v>
      </c>
      <c r="H26" s="214">
        <v>287</v>
      </c>
      <c r="I26" s="214" t="s">
        <v>539</v>
      </c>
      <c r="J26" s="212">
        <v>142</v>
      </c>
      <c r="K26" s="215" t="s">
        <v>514</v>
      </c>
      <c r="L26" s="214">
        <v>142</v>
      </c>
      <c r="M26" s="214" t="s">
        <v>549</v>
      </c>
    </row>
    <row r="27" spans="1:13" ht="18" customHeight="1" x14ac:dyDescent="0.25">
      <c r="B27" s="212">
        <v>11</v>
      </c>
      <c r="C27" s="215" t="s">
        <v>1103</v>
      </c>
      <c r="D27" s="214">
        <v>110</v>
      </c>
      <c r="E27" s="214" t="s">
        <v>532</v>
      </c>
      <c r="F27" s="212">
        <v>77</v>
      </c>
      <c r="G27" s="215" t="s">
        <v>1102</v>
      </c>
      <c r="H27" s="214">
        <v>96</v>
      </c>
      <c r="I27" s="214" t="s">
        <v>546</v>
      </c>
      <c r="J27" s="212">
        <v>143</v>
      </c>
      <c r="K27" s="215" t="s">
        <v>1101</v>
      </c>
      <c r="L27" s="214">
        <v>103</v>
      </c>
      <c r="M27" s="214" t="s">
        <v>535</v>
      </c>
    </row>
    <row r="28" spans="1:13" ht="18" customHeight="1" x14ac:dyDescent="0.25">
      <c r="B28" s="212">
        <v>12</v>
      </c>
      <c r="C28" s="215" t="s">
        <v>1100</v>
      </c>
      <c r="D28" s="214">
        <v>41</v>
      </c>
      <c r="E28" s="214" t="s">
        <v>532</v>
      </c>
      <c r="F28" s="212">
        <v>78</v>
      </c>
      <c r="G28" s="215" t="s">
        <v>1099</v>
      </c>
      <c r="H28" s="214">
        <v>123</v>
      </c>
      <c r="I28" s="214" t="s">
        <v>531</v>
      </c>
      <c r="J28" s="212">
        <v>144</v>
      </c>
      <c r="K28" s="215" t="s">
        <v>1098</v>
      </c>
      <c r="L28" s="214">
        <v>116</v>
      </c>
      <c r="M28" s="214" t="s">
        <v>531</v>
      </c>
    </row>
    <row r="29" spans="1:13" ht="18" customHeight="1" x14ac:dyDescent="0.25">
      <c r="B29" s="212">
        <v>13</v>
      </c>
      <c r="C29" s="215" t="s">
        <v>1097</v>
      </c>
      <c r="D29" s="214">
        <v>6</v>
      </c>
      <c r="E29" s="214" t="s">
        <v>537</v>
      </c>
      <c r="F29" s="212">
        <v>79</v>
      </c>
      <c r="G29" s="215" t="s">
        <v>1096</v>
      </c>
      <c r="H29" s="214">
        <v>42</v>
      </c>
      <c r="I29" s="214" t="s">
        <v>532</v>
      </c>
      <c r="J29" s="212">
        <v>145</v>
      </c>
      <c r="K29" s="215" t="s">
        <v>1095</v>
      </c>
      <c r="L29" s="214">
        <v>51</v>
      </c>
      <c r="M29" s="214" t="s">
        <v>549</v>
      </c>
    </row>
    <row r="30" spans="1:13" ht="18" customHeight="1" x14ac:dyDescent="0.25">
      <c r="B30" s="212">
        <v>14</v>
      </c>
      <c r="C30" s="215" t="s">
        <v>1094</v>
      </c>
      <c r="D30" s="214">
        <v>76</v>
      </c>
      <c r="E30" s="214" t="s">
        <v>528</v>
      </c>
      <c r="F30" s="212">
        <v>80</v>
      </c>
      <c r="G30" s="215" t="s">
        <v>1093</v>
      </c>
      <c r="H30" s="214">
        <v>70</v>
      </c>
      <c r="I30" s="214" t="s">
        <v>533</v>
      </c>
      <c r="J30" s="212">
        <v>146</v>
      </c>
      <c r="K30" s="215" t="s">
        <v>1092</v>
      </c>
      <c r="L30" s="214">
        <v>16</v>
      </c>
      <c r="M30" s="214" t="s">
        <v>549</v>
      </c>
    </row>
    <row r="31" spans="1:13" ht="18" customHeight="1" x14ac:dyDescent="0.25">
      <c r="B31" s="212">
        <v>15</v>
      </c>
      <c r="C31" s="215" t="s">
        <v>1091</v>
      </c>
      <c r="D31" s="214">
        <v>34</v>
      </c>
      <c r="E31" s="214" t="s">
        <v>524</v>
      </c>
      <c r="F31" s="212">
        <v>81</v>
      </c>
      <c r="G31" s="215" t="s">
        <v>1090</v>
      </c>
      <c r="H31" s="214" t="s">
        <v>1002</v>
      </c>
      <c r="I31" s="214" t="s">
        <v>1002</v>
      </c>
      <c r="J31" s="212">
        <v>147</v>
      </c>
      <c r="K31" s="215" t="s">
        <v>515</v>
      </c>
      <c r="L31" s="214">
        <v>155</v>
      </c>
      <c r="M31" s="214" t="s">
        <v>534</v>
      </c>
    </row>
    <row r="32" spans="1:13" ht="18" customHeight="1" x14ac:dyDescent="0.25">
      <c r="B32" s="212">
        <v>16</v>
      </c>
      <c r="C32" s="215" t="s">
        <v>513</v>
      </c>
      <c r="D32" s="214">
        <v>111</v>
      </c>
      <c r="E32" s="214" t="s">
        <v>549</v>
      </c>
      <c r="F32" s="212">
        <v>82</v>
      </c>
      <c r="G32" s="215" t="s">
        <v>1089</v>
      </c>
      <c r="H32" s="214">
        <v>38</v>
      </c>
      <c r="I32" s="214" t="s">
        <v>549</v>
      </c>
      <c r="J32" s="212">
        <v>148</v>
      </c>
      <c r="K32" s="215" t="s">
        <v>1088</v>
      </c>
      <c r="L32" s="214">
        <v>8</v>
      </c>
      <c r="M32" s="214" t="s">
        <v>537</v>
      </c>
    </row>
    <row r="33" spans="2:13" ht="18" customHeight="1" x14ac:dyDescent="0.25">
      <c r="B33" s="212">
        <v>17</v>
      </c>
      <c r="C33" s="215" t="s">
        <v>1087</v>
      </c>
      <c r="D33" s="214">
        <v>126</v>
      </c>
      <c r="E33" s="214" t="s">
        <v>524</v>
      </c>
      <c r="F33" s="212">
        <v>83</v>
      </c>
      <c r="G33" s="215" t="s">
        <v>1086</v>
      </c>
      <c r="H33" s="214">
        <v>110</v>
      </c>
      <c r="I33" s="214" t="s">
        <v>532</v>
      </c>
      <c r="J33" s="212">
        <v>149</v>
      </c>
      <c r="K33" s="215" t="s">
        <v>1085</v>
      </c>
      <c r="L33" s="214">
        <v>8</v>
      </c>
      <c r="M33" s="214" t="s">
        <v>549</v>
      </c>
    </row>
    <row r="34" spans="2:13" ht="18" customHeight="1" x14ac:dyDescent="0.25">
      <c r="B34" s="212">
        <v>18</v>
      </c>
      <c r="C34" s="215" t="s">
        <v>1084</v>
      </c>
      <c r="D34" s="214">
        <v>72</v>
      </c>
      <c r="E34" s="214" t="s">
        <v>549</v>
      </c>
      <c r="F34" s="212">
        <v>84</v>
      </c>
      <c r="G34" s="215" t="s">
        <v>1083</v>
      </c>
      <c r="H34" s="214">
        <v>93</v>
      </c>
      <c r="I34" s="214" t="s">
        <v>531</v>
      </c>
      <c r="J34" s="212">
        <v>150</v>
      </c>
      <c r="K34" s="215" t="s">
        <v>1082</v>
      </c>
      <c r="L34" s="214">
        <v>122</v>
      </c>
      <c r="M34" s="214" t="s">
        <v>534</v>
      </c>
    </row>
    <row r="35" spans="2:13" ht="18" customHeight="1" x14ac:dyDescent="0.25">
      <c r="B35" s="212">
        <v>19</v>
      </c>
      <c r="C35" s="215" t="s">
        <v>1081</v>
      </c>
      <c r="D35" s="214">
        <v>79</v>
      </c>
      <c r="E35" s="214" t="s">
        <v>549</v>
      </c>
      <c r="F35" s="212">
        <v>85</v>
      </c>
      <c r="G35" s="215" t="s">
        <v>1080</v>
      </c>
      <c r="H35" s="214">
        <v>32</v>
      </c>
      <c r="I35" s="214" t="s">
        <v>549</v>
      </c>
      <c r="J35" s="212">
        <v>151</v>
      </c>
      <c r="K35" s="215" t="s">
        <v>1079</v>
      </c>
      <c r="L35" s="214">
        <v>147</v>
      </c>
      <c r="M35" s="214" t="s">
        <v>529</v>
      </c>
    </row>
    <row r="36" spans="2:13" ht="18" customHeight="1" x14ac:dyDescent="0.25">
      <c r="B36" s="212">
        <v>20</v>
      </c>
      <c r="C36" s="215" t="s">
        <v>1078</v>
      </c>
      <c r="D36" s="214">
        <v>226</v>
      </c>
      <c r="E36" s="214" t="s">
        <v>532</v>
      </c>
      <c r="F36" s="212">
        <v>86</v>
      </c>
      <c r="G36" s="215" t="s">
        <v>512</v>
      </c>
      <c r="H36" s="214">
        <v>79</v>
      </c>
      <c r="I36" s="214" t="s">
        <v>549</v>
      </c>
      <c r="J36" s="212">
        <v>152</v>
      </c>
      <c r="K36" s="215" t="s">
        <v>1077</v>
      </c>
      <c r="L36" s="214">
        <v>128</v>
      </c>
      <c r="M36" s="214" t="s">
        <v>532</v>
      </c>
    </row>
    <row r="37" spans="2:13" ht="18" customHeight="1" x14ac:dyDescent="0.25">
      <c r="B37" s="212">
        <v>21</v>
      </c>
      <c r="C37" s="215" t="s">
        <v>1076</v>
      </c>
      <c r="D37" s="214">
        <v>12</v>
      </c>
      <c r="E37" s="214" t="s">
        <v>541</v>
      </c>
      <c r="F37" s="212">
        <v>87</v>
      </c>
      <c r="G37" s="215" t="s">
        <v>1075</v>
      </c>
      <c r="H37" s="214">
        <v>202</v>
      </c>
      <c r="I37" s="214" t="s">
        <v>549</v>
      </c>
      <c r="J37" s="212">
        <v>153</v>
      </c>
      <c r="K37" s="215" t="s">
        <v>1074</v>
      </c>
      <c r="L37" s="214">
        <v>238</v>
      </c>
      <c r="M37" s="214" t="s">
        <v>529</v>
      </c>
    </row>
    <row r="38" spans="2:13" ht="18" customHeight="1" x14ac:dyDescent="0.25">
      <c r="B38" s="212">
        <v>22</v>
      </c>
      <c r="C38" s="215" t="s">
        <v>1073</v>
      </c>
      <c r="D38" s="214">
        <v>74</v>
      </c>
      <c r="E38" s="214" t="s">
        <v>549</v>
      </c>
      <c r="F38" s="212">
        <v>88</v>
      </c>
      <c r="G38" s="215" t="s">
        <v>1072</v>
      </c>
      <c r="H38" s="214">
        <v>144</v>
      </c>
      <c r="I38" s="214" t="s">
        <v>549</v>
      </c>
      <c r="J38" s="212">
        <v>154</v>
      </c>
      <c r="K38" s="215" t="s">
        <v>1071</v>
      </c>
      <c r="L38" s="214">
        <v>18</v>
      </c>
      <c r="M38" s="214" t="s">
        <v>535</v>
      </c>
    </row>
    <row r="39" spans="2:13" ht="18" customHeight="1" x14ac:dyDescent="0.25">
      <c r="B39" s="212">
        <v>23</v>
      </c>
      <c r="C39" s="215" t="s">
        <v>1070</v>
      </c>
      <c r="D39" s="214">
        <v>76</v>
      </c>
      <c r="E39" s="214" t="s">
        <v>528</v>
      </c>
      <c r="F39" s="212">
        <v>89</v>
      </c>
      <c r="G39" s="215" t="s">
        <v>1069</v>
      </c>
      <c r="H39" s="214">
        <v>304</v>
      </c>
      <c r="I39" s="214" t="s">
        <v>524</v>
      </c>
      <c r="J39" s="212">
        <v>155</v>
      </c>
      <c r="K39" s="215" t="s">
        <v>1068</v>
      </c>
      <c r="L39" s="214">
        <v>36</v>
      </c>
      <c r="M39" s="214" t="s">
        <v>538</v>
      </c>
    </row>
    <row r="40" spans="2:13" ht="18" customHeight="1" x14ac:dyDescent="0.25">
      <c r="B40" s="212">
        <v>24</v>
      </c>
      <c r="C40" s="215" t="s">
        <v>1067</v>
      </c>
      <c r="D40" s="214">
        <v>167</v>
      </c>
      <c r="E40" s="214" t="s">
        <v>549</v>
      </c>
      <c r="F40" s="212">
        <v>90</v>
      </c>
      <c r="G40" s="215" t="s">
        <v>1066</v>
      </c>
      <c r="H40" s="214">
        <v>56</v>
      </c>
      <c r="I40" s="214" t="s">
        <v>549</v>
      </c>
      <c r="J40" s="212">
        <v>156</v>
      </c>
      <c r="K40" s="215" t="s">
        <v>1065</v>
      </c>
      <c r="L40" s="214">
        <v>96</v>
      </c>
      <c r="M40" s="214" t="s">
        <v>540</v>
      </c>
    </row>
    <row r="41" spans="2:13" ht="18" customHeight="1" x14ac:dyDescent="0.25">
      <c r="B41" s="212">
        <v>25</v>
      </c>
      <c r="C41" s="215" t="s">
        <v>1064</v>
      </c>
      <c r="D41" s="214">
        <v>59</v>
      </c>
      <c r="E41" s="214" t="s">
        <v>549</v>
      </c>
      <c r="F41" s="212">
        <v>91</v>
      </c>
      <c r="G41" s="215" t="s">
        <v>1063</v>
      </c>
      <c r="H41" s="214">
        <v>56</v>
      </c>
      <c r="I41" s="214" t="s">
        <v>547</v>
      </c>
      <c r="J41" s="212">
        <v>157</v>
      </c>
      <c r="K41" s="215" t="s">
        <v>1062</v>
      </c>
      <c r="L41" s="214">
        <v>118</v>
      </c>
      <c r="M41" s="214" t="s">
        <v>548</v>
      </c>
    </row>
    <row r="42" spans="2:13" ht="18" customHeight="1" x14ac:dyDescent="0.25">
      <c r="B42" s="212">
        <v>26</v>
      </c>
      <c r="C42" s="215" t="s">
        <v>1061</v>
      </c>
      <c r="D42" s="214">
        <v>52</v>
      </c>
      <c r="E42" s="214" t="s">
        <v>529</v>
      </c>
      <c r="F42" s="212">
        <v>92</v>
      </c>
      <c r="G42" s="215" t="s">
        <v>1060</v>
      </c>
      <c r="H42" s="214">
        <v>176</v>
      </c>
      <c r="I42" s="214" t="s">
        <v>529</v>
      </c>
      <c r="J42" s="212">
        <v>158</v>
      </c>
      <c r="K42" s="215" t="s">
        <v>1059</v>
      </c>
      <c r="L42" s="214">
        <v>67</v>
      </c>
      <c r="M42" s="214" t="s">
        <v>549</v>
      </c>
    </row>
    <row r="43" spans="2:13" ht="18" customHeight="1" x14ac:dyDescent="0.25">
      <c r="B43" s="212">
        <v>27</v>
      </c>
      <c r="C43" s="215" t="s">
        <v>1058</v>
      </c>
      <c r="D43" s="214">
        <v>74</v>
      </c>
      <c r="E43" s="214" t="s">
        <v>549</v>
      </c>
      <c r="F43" s="212">
        <v>93</v>
      </c>
      <c r="G43" s="215" t="s">
        <v>1057</v>
      </c>
      <c r="H43" s="214">
        <v>70</v>
      </c>
      <c r="I43" s="214" t="s">
        <v>537</v>
      </c>
      <c r="J43" s="212">
        <v>159</v>
      </c>
      <c r="K43" s="215" t="s">
        <v>1056</v>
      </c>
      <c r="L43" s="214">
        <v>94</v>
      </c>
      <c r="M43" s="214" t="s">
        <v>549</v>
      </c>
    </row>
    <row r="44" spans="2:13" ht="18" customHeight="1" x14ac:dyDescent="0.25">
      <c r="B44" s="212">
        <v>28</v>
      </c>
      <c r="C44" s="215" t="s">
        <v>1055</v>
      </c>
      <c r="D44" s="214">
        <v>239</v>
      </c>
      <c r="E44" s="214" t="s">
        <v>543</v>
      </c>
      <c r="F44" s="212">
        <v>94</v>
      </c>
      <c r="G44" s="215" t="s">
        <v>1054</v>
      </c>
      <c r="H44" s="214">
        <v>50</v>
      </c>
      <c r="I44" s="214" t="s">
        <v>548</v>
      </c>
      <c r="J44" s="212">
        <v>160</v>
      </c>
      <c r="K44" s="215" t="s">
        <v>1053</v>
      </c>
      <c r="L44" s="214">
        <v>134</v>
      </c>
      <c r="M44" s="214" t="s">
        <v>535</v>
      </c>
    </row>
    <row r="45" spans="2:13" ht="18" customHeight="1" x14ac:dyDescent="0.25">
      <c r="B45" s="212">
        <v>29</v>
      </c>
      <c r="C45" s="215" t="s">
        <v>1052</v>
      </c>
      <c r="D45" s="214">
        <v>76</v>
      </c>
      <c r="E45" s="214" t="s">
        <v>546</v>
      </c>
      <c r="F45" s="212">
        <v>95</v>
      </c>
      <c r="G45" s="215" t="s">
        <v>1051</v>
      </c>
      <c r="H45" s="214">
        <v>18</v>
      </c>
      <c r="I45" s="214" t="s">
        <v>536</v>
      </c>
      <c r="J45" s="212">
        <v>161</v>
      </c>
      <c r="K45" s="215" t="s">
        <v>1050</v>
      </c>
      <c r="L45" s="214">
        <v>33</v>
      </c>
      <c r="M45" s="214" t="s">
        <v>548</v>
      </c>
    </row>
    <row r="46" spans="2:13" ht="18" customHeight="1" x14ac:dyDescent="0.25">
      <c r="B46" s="212">
        <v>30</v>
      </c>
      <c r="C46" s="215" t="s">
        <v>1049</v>
      </c>
      <c r="D46" s="214">
        <v>193</v>
      </c>
      <c r="E46" s="214" t="s">
        <v>543</v>
      </c>
      <c r="F46" s="212">
        <v>96</v>
      </c>
      <c r="G46" s="215" t="s">
        <v>1048</v>
      </c>
      <c r="H46" s="214">
        <v>56</v>
      </c>
      <c r="I46" s="214" t="s">
        <v>549</v>
      </c>
      <c r="J46" s="212">
        <v>162</v>
      </c>
      <c r="K46" s="215" t="s">
        <v>1047</v>
      </c>
      <c r="L46" s="214">
        <v>97</v>
      </c>
      <c r="M46" s="214" t="s">
        <v>531</v>
      </c>
    </row>
    <row r="47" spans="2:13" ht="18" customHeight="1" x14ac:dyDescent="0.25">
      <c r="B47" s="212">
        <v>31</v>
      </c>
      <c r="C47" s="215" t="s">
        <v>1046</v>
      </c>
      <c r="D47" s="214">
        <v>102</v>
      </c>
      <c r="E47" s="214" t="s">
        <v>524</v>
      </c>
      <c r="F47" s="212">
        <v>97</v>
      </c>
      <c r="G47" s="215" t="s">
        <v>1045</v>
      </c>
      <c r="H47" s="214">
        <v>132</v>
      </c>
      <c r="I47" s="214" t="s">
        <v>549</v>
      </c>
      <c r="J47" s="212">
        <v>163</v>
      </c>
      <c r="K47" s="215" t="s">
        <v>1044</v>
      </c>
      <c r="L47" s="214">
        <v>52</v>
      </c>
      <c r="M47" s="214" t="s">
        <v>528</v>
      </c>
    </row>
    <row r="48" spans="2:13" ht="18" customHeight="1" x14ac:dyDescent="0.25">
      <c r="B48" s="212">
        <v>32</v>
      </c>
      <c r="C48" s="215" t="s">
        <v>1043</v>
      </c>
      <c r="D48" s="214">
        <v>125</v>
      </c>
      <c r="E48" s="214" t="s">
        <v>549</v>
      </c>
      <c r="F48" s="212">
        <v>98</v>
      </c>
      <c r="G48" s="215" t="s">
        <v>1042</v>
      </c>
      <c r="H48" s="214">
        <v>113</v>
      </c>
      <c r="I48" s="214" t="s">
        <v>548</v>
      </c>
      <c r="J48" s="212">
        <v>164</v>
      </c>
      <c r="K48" s="215" t="s">
        <v>1041</v>
      </c>
      <c r="L48" s="214">
        <v>200</v>
      </c>
      <c r="M48" s="214" t="s">
        <v>537</v>
      </c>
    </row>
    <row r="49" spans="2:13" ht="18" customHeight="1" x14ac:dyDescent="0.25">
      <c r="B49" s="212">
        <v>33</v>
      </c>
      <c r="C49" s="215" t="s">
        <v>1040</v>
      </c>
      <c r="D49" s="214">
        <v>168</v>
      </c>
      <c r="E49" s="214" t="s">
        <v>532</v>
      </c>
      <c r="F49" s="212">
        <v>99</v>
      </c>
      <c r="G49" s="215" t="s">
        <v>1039</v>
      </c>
      <c r="H49" s="214">
        <v>66</v>
      </c>
      <c r="I49" s="214" t="s">
        <v>529</v>
      </c>
      <c r="J49" s="212">
        <v>165</v>
      </c>
      <c r="K49" s="215" t="s">
        <v>1038</v>
      </c>
      <c r="L49" s="214">
        <v>136</v>
      </c>
      <c r="M49" s="214" t="s">
        <v>533</v>
      </c>
    </row>
    <row r="50" spans="2:13" ht="18" customHeight="1" x14ac:dyDescent="0.25">
      <c r="B50" s="212">
        <v>34</v>
      </c>
      <c r="C50" s="215" t="s">
        <v>1037</v>
      </c>
      <c r="D50" s="214">
        <v>24</v>
      </c>
      <c r="E50" s="214" t="s">
        <v>529</v>
      </c>
      <c r="F50" s="212">
        <v>100</v>
      </c>
      <c r="G50" s="215" t="s">
        <v>1036</v>
      </c>
      <c r="H50" s="214">
        <v>74</v>
      </c>
      <c r="I50" s="214" t="s">
        <v>527</v>
      </c>
      <c r="J50" s="212">
        <v>166</v>
      </c>
      <c r="K50" s="215" t="s">
        <v>1035</v>
      </c>
      <c r="L50" s="214">
        <v>126</v>
      </c>
      <c r="M50" s="214" t="s">
        <v>549</v>
      </c>
    </row>
    <row r="51" spans="2:13" ht="18" customHeight="1" x14ac:dyDescent="0.25">
      <c r="B51" s="212">
        <v>35</v>
      </c>
      <c r="C51" s="215" t="s">
        <v>1034</v>
      </c>
      <c r="D51" s="214">
        <v>78</v>
      </c>
      <c r="E51" s="214" t="s">
        <v>527</v>
      </c>
      <c r="F51" s="212">
        <v>101</v>
      </c>
      <c r="G51" s="215" t="s">
        <v>1033</v>
      </c>
      <c r="H51" s="214">
        <v>92</v>
      </c>
      <c r="I51" s="214" t="s">
        <v>547</v>
      </c>
      <c r="J51" s="212">
        <v>167</v>
      </c>
      <c r="K51" s="215" t="s">
        <v>1032</v>
      </c>
      <c r="L51" s="214">
        <v>118</v>
      </c>
      <c r="M51" s="214" t="s">
        <v>527</v>
      </c>
    </row>
    <row r="52" spans="2:13" ht="18" customHeight="1" x14ac:dyDescent="0.25">
      <c r="B52" s="212">
        <v>36</v>
      </c>
      <c r="C52" s="215" t="s">
        <v>1031</v>
      </c>
      <c r="D52" s="214">
        <v>40</v>
      </c>
      <c r="E52" s="214" t="s">
        <v>529</v>
      </c>
      <c r="F52" s="212">
        <v>102</v>
      </c>
      <c r="G52" s="215" t="s">
        <v>1030</v>
      </c>
      <c r="H52" s="214">
        <v>144</v>
      </c>
      <c r="I52" s="214" t="s">
        <v>528</v>
      </c>
      <c r="J52" s="212">
        <v>168</v>
      </c>
      <c r="K52" s="215" t="s">
        <v>1029</v>
      </c>
      <c r="L52" s="214">
        <v>87</v>
      </c>
      <c r="M52" s="214" t="s">
        <v>549</v>
      </c>
    </row>
    <row r="53" spans="2:13" ht="18" customHeight="1" x14ac:dyDescent="0.25">
      <c r="B53" s="212">
        <v>37</v>
      </c>
      <c r="C53" s="215" t="s">
        <v>1028</v>
      </c>
      <c r="D53" s="214">
        <v>72</v>
      </c>
      <c r="E53" s="214" t="s">
        <v>534</v>
      </c>
      <c r="F53" s="212">
        <v>103</v>
      </c>
      <c r="G53" s="215" t="s">
        <v>1027</v>
      </c>
      <c r="H53" s="214">
        <v>72</v>
      </c>
      <c r="I53" s="214" t="s">
        <v>549</v>
      </c>
      <c r="J53" s="212">
        <v>169</v>
      </c>
      <c r="K53" s="215" t="s">
        <v>1026</v>
      </c>
      <c r="L53" s="214">
        <v>107</v>
      </c>
      <c r="M53" s="214" t="s">
        <v>536</v>
      </c>
    </row>
    <row r="54" spans="2:13" ht="18" customHeight="1" x14ac:dyDescent="0.25">
      <c r="B54" s="212">
        <v>38</v>
      </c>
      <c r="C54" s="215" t="s">
        <v>1025</v>
      </c>
      <c r="D54" s="214">
        <v>48</v>
      </c>
      <c r="E54" s="214" t="s">
        <v>548</v>
      </c>
      <c r="F54" s="212">
        <v>104</v>
      </c>
      <c r="G54" s="215" t="s">
        <v>1024</v>
      </c>
      <c r="H54" s="214">
        <v>54</v>
      </c>
      <c r="I54" s="214" t="s">
        <v>549</v>
      </c>
      <c r="J54" s="212">
        <v>170</v>
      </c>
      <c r="K54" s="215" t="s">
        <v>1023</v>
      </c>
      <c r="L54" s="214">
        <v>50</v>
      </c>
      <c r="M54" s="214" t="s">
        <v>547</v>
      </c>
    </row>
    <row r="55" spans="2:13" ht="18" customHeight="1" x14ac:dyDescent="0.25">
      <c r="B55" s="212">
        <v>39</v>
      </c>
      <c r="C55" s="215" t="s">
        <v>1022</v>
      </c>
      <c r="D55" s="214">
        <v>77</v>
      </c>
      <c r="E55" s="214" t="s">
        <v>546</v>
      </c>
      <c r="F55" s="212">
        <v>105</v>
      </c>
      <c r="G55" s="215" t="s">
        <v>1021</v>
      </c>
      <c r="H55" s="214">
        <v>72</v>
      </c>
      <c r="I55" s="214" t="s">
        <v>533</v>
      </c>
      <c r="J55" s="212">
        <v>171</v>
      </c>
      <c r="K55" s="215" t="s">
        <v>1020</v>
      </c>
      <c r="L55" s="214">
        <v>63</v>
      </c>
      <c r="M55" s="214" t="s">
        <v>547</v>
      </c>
    </row>
    <row r="56" spans="2:13" ht="18" customHeight="1" x14ac:dyDescent="0.25">
      <c r="B56" s="212">
        <v>40</v>
      </c>
      <c r="C56" s="215" t="s">
        <v>1019</v>
      </c>
      <c r="D56" s="214">
        <v>37</v>
      </c>
      <c r="E56" s="214" t="s">
        <v>549</v>
      </c>
      <c r="F56" s="212">
        <v>106</v>
      </c>
      <c r="G56" s="215" t="s">
        <v>1018</v>
      </c>
      <c r="H56" s="214">
        <v>134</v>
      </c>
      <c r="I56" s="214" t="s">
        <v>533</v>
      </c>
      <c r="J56" s="212">
        <v>172</v>
      </c>
      <c r="K56" s="215" t="s">
        <v>511</v>
      </c>
      <c r="L56" s="214">
        <v>51</v>
      </c>
      <c r="M56" s="214" t="s">
        <v>549</v>
      </c>
    </row>
    <row r="57" spans="2:13" ht="18" customHeight="1" x14ac:dyDescent="0.25">
      <c r="B57" s="212">
        <v>41</v>
      </c>
      <c r="C57" s="215" t="s">
        <v>1017</v>
      </c>
      <c r="D57" s="214">
        <v>230</v>
      </c>
      <c r="E57" s="214" t="s">
        <v>530</v>
      </c>
      <c r="F57" s="212">
        <v>107</v>
      </c>
      <c r="G57" s="215" t="s">
        <v>1016</v>
      </c>
      <c r="H57" s="214">
        <v>153</v>
      </c>
      <c r="I57" s="214" t="s">
        <v>534</v>
      </c>
      <c r="J57" s="212">
        <v>173</v>
      </c>
      <c r="K57" s="215" t="s">
        <v>1015</v>
      </c>
      <c r="L57" s="214">
        <v>122</v>
      </c>
      <c r="M57" s="214" t="s">
        <v>549</v>
      </c>
    </row>
    <row r="58" spans="2:13" ht="18" customHeight="1" x14ac:dyDescent="0.25">
      <c r="B58" s="212">
        <v>42</v>
      </c>
      <c r="C58" s="215" t="s">
        <v>1014</v>
      </c>
      <c r="D58" s="214">
        <v>129</v>
      </c>
      <c r="E58" s="214" t="s">
        <v>549</v>
      </c>
      <c r="F58" s="212">
        <v>108</v>
      </c>
      <c r="G58" s="215" t="s">
        <v>1013</v>
      </c>
      <c r="H58" s="214">
        <v>11</v>
      </c>
      <c r="I58" s="214" t="s">
        <v>533</v>
      </c>
      <c r="J58" s="212">
        <v>174</v>
      </c>
      <c r="K58" s="215" t="s">
        <v>1012</v>
      </c>
      <c r="L58" s="214">
        <v>26</v>
      </c>
      <c r="M58" s="214" t="s">
        <v>1010</v>
      </c>
    </row>
    <row r="59" spans="2:13" ht="18" customHeight="1" x14ac:dyDescent="0.25">
      <c r="B59" s="212">
        <v>43</v>
      </c>
      <c r="C59" s="215" t="s">
        <v>1011</v>
      </c>
      <c r="D59" s="214">
        <v>145</v>
      </c>
      <c r="E59" s="214" t="s">
        <v>1010</v>
      </c>
      <c r="F59" s="212">
        <v>109</v>
      </c>
      <c r="G59" s="215" t="s">
        <v>1009</v>
      </c>
      <c r="H59" s="214">
        <v>52</v>
      </c>
      <c r="I59" s="214" t="s">
        <v>527</v>
      </c>
      <c r="J59" s="212">
        <v>175</v>
      </c>
      <c r="K59" s="215" t="s">
        <v>1008</v>
      </c>
      <c r="L59" s="214">
        <v>210</v>
      </c>
      <c r="M59" s="214" t="s">
        <v>527</v>
      </c>
    </row>
    <row r="60" spans="2:13" ht="18" customHeight="1" x14ac:dyDescent="0.25">
      <c r="B60" s="212">
        <v>44</v>
      </c>
      <c r="C60" s="215" t="s">
        <v>1007</v>
      </c>
      <c r="D60" s="214">
        <v>158</v>
      </c>
      <c r="E60" s="214" t="s">
        <v>533</v>
      </c>
      <c r="F60" s="212">
        <v>110</v>
      </c>
      <c r="G60" s="215" t="s">
        <v>1006</v>
      </c>
      <c r="H60" s="214">
        <v>74</v>
      </c>
      <c r="I60" s="214" t="s">
        <v>529</v>
      </c>
      <c r="J60" s="212">
        <v>176</v>
      </c>
      <c r="K60" s="215" t="s">
        <v>1005</v>
      </c>
      <c r="L60" s="214">
        <v>105</v>
      </c>
      <c r="M60" s="214" t="s">
        <v>528</v>
      </c>
    </row>
    <row r="61" spans="2:13" ht="18" customHeight="1" x14ac:dyDescent="0.25">
      <c r="B61" s="212">
        <v>45</v>
      </c>
      <c r="C61" s="215" t="s">
        <v>1004</v>
      </c>
      <c r="D61" s="214">
        <v>197</v>
      </c>
      <c r="E61" s="214" t="s">
        <v>533</v>
      </c>
      <c r="F61" s="212">
        <v>111</v>
      </c>
      <c r="G61" s="215" t="s">
        <v>1003</v>
      </c>
      <c r="H61" s="214" t="s">
        <v>1002</v>
      </c>
      <c r="I61" s="214" t="s">
        <v>1002</v>
      </c>
      <c r="J61" s="212">
        <v>177</v>
      </c>
      <c r="K61" s="215" t="s">
        <v>1001</v>
      </c>
      <c r="L61" s="214">
        <v>124</v>
      </c>
      <c r="M61" s="214" t="s">
        <v>536</v>
      </c>
    </row>
    <row r="62" spans="2:13" ht="18" customHeight="1" x14ac:dyDescent="0.25">
      <c r="B62" s="212">
        <v>46</v>
      </c>
      <c r="C62" s="215" t="s">
        <v>1000</v>
      </c>
      <c r="D62" s="214">
        <v>152</v>
      </c>
      <c r="E62" s="214" t="s">
        <v>526</v>
      </c>
      <c r="F62" s="212">
        <v>112</v>
      </c>
      <c r="G62" s="215" t="s">
        <v>999</v>
      </c>
      <c r="H62" s="214">
        <v>163</v>
      </c>
      <c r="I62" s="214" t="s">
        <v>531</v>
      </c>
      <c r="J62" s="212">
        <v>178</v>
      </c>
      <c r="K62" s="215" t="s">
        <v>998</v>
      </c>
      <c r="L62" s="214">
        <v>48</v>
      </c>
      <c r="M62" s="214" t="s">
        <v>548</v>
      </c>
    </row>
    <row r="63" spans="2:13" ht="18" customHeight="1" x14ac:dyDescent="0.25">
      <c r="B63" s="212">
        <v>47</v>
      </c>
      <c r="C63" s="215" t="s">
        <v>507</v>
      </c>
      <c r="D63" s="214">
        <v>52</v>
      </c>
      <c r="E63" s="214" t="s">
        <v>535</v>
      </c>
      <c r="F63" s="212">
        <v>113</v>
      </c>
      <c r="G63" s="215" t="s">
        <v>997</v>
      </c>
      <c r="H63" s="214">
        <v>42</v>
      </c>
      <c r="I63" s="214" t="s">
        <v>533</v>
      </c>
      <c r="J63" s="212">
        <v>179</v>
      </c>
      <c r="K63" s="215" t="s">
        <v>996</v>
      </c>
      <c r="L63" s="214">
        <v>65</v>
      </c>
      <c r="M63" s="214" t="s">
        <v>549</v>
      </c>
    </row>
    <row r="64" spans="2:13" ht="18" customHeight="1" x14ac:dyDescent="0.25">
      <c r="B64" s="212">
        <v>48</v>
      </c>
      <c r="C64" s="215" t="s">
        <v>995</v>
      </c>
      <c r="D64" s="214">
        <v>142</v>
      </c>
      <c r="E64" s="214" t="s">
        <v>542</v>
      </c>
      <c r="F64" s="212">
        <v>114</v>
      </c>
      <c r="G64" s="215" t="s">
        <v>994</v>
      </c>
      <c r="H64" s="214">
        <v>44</v>
      </c>
      <c r="I64" s="214" t="s">
        <v>532</v>
      </c>
      <c r="J64" s="212">
        <v>180</v>
      </c>
      <c r="K64" s="215" t="s">
        <v>993</v>
      </c>
      <c r="L64" s="214">
        <v>111</v>
      </c>
      <c r="M64" s="214" t="s">
        <v>532</v>
      </c>
    </row>
    <row r="65" spans="2:13" ht="18" customHeight="1" x14ac:dyDescent="0.25">
      <c r="B65" s="212">
        <v>49</v>
      </c>
      <c r="C65" s="215" t="s">
        <v>992</v>
      </c>
      <c r="D65" s="214">
        <v>160</v>
      </c>
      <c r="E65" s="214" t="s">
        <v>532</v>
      </c>
      <c r="F65" s="212">
        <v>115</v>
      </c>
      <c r="G65" s="215" t="s">
        <v>991</v>
      </c>
      <c r="H65" s="214">
        <v>39</v>
      </c>
      <c r="I65" s="214" t="s">
        <v>542</v>
      </c>
      <c r="J65" s="212">
        <v>181</v>
      </c>
      <c r="K65" s="215" t="s">
        <v>990</v>
      </c>
      <c r="L65" s="214">
        <v>60</v>
      </c>
      <c r="M65" s="214" t="s">
        <v>549</v>
      </c>
    </row>
    <row r="66" spans="2:13" ht="18" customHeight="1" x14ac:dyDescent="0.25">
      <c r="B66" s="212">
        <v>50</v>
      </c>
      <c r="C66" s="215" t="s">
        <v>989</v>
      </c>
      <c r="D66" s="214">
        <v>111</v>
      </c>
      <c r="E66" s="214" t="s">
        <v>528</v>
      </c>
      <c r="F66" s="212">
        <v>116</v>
      </c>
      <c r="G66" s="215" t="s">
        <v>988</v>
      </c>
      <c r="H66" s="214">
        <v>113</v>
      </c>
      <c r="I66" s="214" t="s">
        <v>547</v>
      </c>
      <c r="J66" s="212">
        <v>182</v>
      </c>
      <c r="K66" s="215" t="s">
        <v>987</v>
      </c>
      <c r="L66" s="214">
        <v>83</v>
      </c>
      <c r="M66" s="214" t="s">
        <v>536</v>
      </c>
    </row>
    <row r="67" spans="2:13" ht="18" customHeight="1" x14ac:dyDescent="0.25">
      <c r="B67" s="212">
        <v>51</v>
      </c>
      <c r="C67" s="215" t="s">
        <v>986</v>
      </c>
      <c r="D67" s="214">
        <v>179</v>
      </c>
      <c r="E67" s="214" t="s">
        <v>549</v>
      </c>
      <c r="F67" s="212">
        <v>117</v>
      </c>
      <c r="G67" s="215" t="s">
        <v>985</v>
      </c>
      <c r="H67" s="214">
        <v>27</v>
      </c>
      <c r="I67" s="214" t="s">
        <v>549</v>
      </c>
      <c r="J67" s="212"/>
      <c r="K67" s="213"/>
      <c r="L67" s="212"/>
      <c r="M67" s="212"/>
    </row>
    <row r="68" spans="2:13" ht="18" customHeight="1" x14ac:dyDescent="0.25">
      <c r="B68" s="212">
        <v>52</v>
      </c>
      <c r="C68" s="215" t="s">
        <v>984</v>
      </c>
      <c r="D68" s="214">
        <v>111</v>
      </c>
      <c r="E68" s="214" t="s">
        <v>533</v>
      </c>
      <c r="F68" s="212">
        <v>118</v>
      </c>
      <c r="G68" s="215" t="s">
        <v>510</v>
      </c>
      <c r="H68" s="214">
        <v>203</v>
      </c>
      <c r="I68" s="214" t="s">
        <v>548</v>
      </c>
      <c r="J68" s="212"/>
      <c r="K68" s="213"/>
      <c r="L68" s="212"/>
      <c r="M68" s="212"/>
    </row>
    <row r="69" spans="2:13" ht="18" customHeight="1" x14ac:dyDescent="0.25">
      <c r="B69" s="212">
        <v>53</v>
      </c>
      <c r="C69" s="215" t="s">
        <v>983</v>
      </c>
      <c r="D69" s="214">
        <v>44</v>
      </c>
      <c r="E69" s="214" t="s">
        <v>549</v>
      </c>
      <c r="F69" s="212">
        <v>119</v>
      </c>
      <c r="G69" s="215" t="s">
        <v>982</v>
      </c>
      <c r="H69" s="214">
        <v>155</v>
      </c>
      <c r="I69" s="214" t="s">
        <v>548</v>
      </c>
      <c r="J69" s="212"/>
      <c r="K69" s="213"/>
      <c r="L69" s="212"/>
      <c r="M69" s="212"/>
    </row>
    <row r="70" spans="2:13" ht="18" customHeight="1" x14ac:dyDescent="0.25">
      <c r="B70" s="212">
        <v>54</v>
      </c>
      <c r="C70" s="215" t="s">
        <v>981</v>
      </c>
      <c r="D70" s="214">
        <v>131</v>
      </c>
      <c r="E70" s="214" t="s">
        <v>529</v>
      </c>
      <c r="F70" s="212">
        <v>120</v>
      </c>
      <c r="G70" s="215" t="s">
        <v>980</v>
      </c>
      <c r="H70" s="214">
        <v>67</v>
      </c>
      <c r="I70" s="214" t="s">
        <v>527</v>
      </c>
      <c r="J70" s="212"/>
      <c r="K70" s="213"/>
      <c r="L70" s="212"/>
      <c r="M70" s="212"/>
    </row>
    <row r="71" spans="2:13" ht="18" customHeight="1" x14ac:dyDescent="0.25">
      <c r="B71" s="212">
        <v>55</v>
      </c>
      <c r="C71" s="215" t="s">
        <v>979</v>
      </c>
      <c r="D71" s="214">
        <v>93</v>
      </c>
      <c r="E71" s="214" t="s">
        <v>527</v>
      </c>
      <c r="F71" s="212">
        <v>121</v>
      </c>
      <c r="G71" s="215" t="s">
        <v>978</v>
      </c>
      <c r="H71" s="214">
        <v>81</v>
      </c>
      <c r="I71" s="214" t="s">
        <v>535</v>
      </c>
      <c r="J71" s="212"/>
      <c r="K71" s="213"/>
      <c r="L71" s="212"/>
      <c r="M71" s="212"/>
    </row>
    <row r="72" spans="2:13" ht="18" customHeight="1" x14ac:dyDescent="0.25">
      <c r="B72" s="212">
        <v>56</v>
      </c>
      <c r="C72" s="215" t="s">
        <v>977</v>
      </c>
      <c r="D72" s="214">
        <v>78</v>
      </c>
      <c r="E72" s="214" t="s">
        <v>528</v>
      </c>
      <c r="F72" s="212">
        <v>122</v>
      </c>
      <c r="G72" s="215" t="s">
        <v>976</v>
      </c>
      <c r="H72" s="214">
        <v>181</v>
      </c>
      <c r="I72" s="214" t="s">
        <v>526</v>
      </c>
      <c r="J72" s="212"/>
      <c r="K72" s="213"/>
      <c r="L72" s="212"/>
      <c r="M72" s="212"/>
    </row>
    <row r="73" spans="2:13" ht="18" customHeight="1" x14ac:dyDescent="0.25">
      <c r="B73" s="212">
        <v>57</v>
      </c>
      <c r="C73" s="215" t="s">
        <v>975</v>
      </c>
      <c r="D73" s="214">
        <v>15</v>
      </c>
      <c r="E73" s="214" t="s">
        <v>549</v>
      </c>
      <c r="F73" s="212">
        <v>123</v>
      </c>
      <c r="G73" s="215" t="s">
        <v>974</v>
      </c>
      <c r="H73" s="214">
        <v>179</v>
      </c>
      <c r="I73" s="214" t="s">
        <v>549</v>
      </c>
      <c r="J73" s="212"/>
      <c r="K73" s="213"/>
      <c r="L73" s="212"/>
      <c r="M73" s="212"/>
    </row>
    <row r="74" spans="2:13" ht="18" customHeight="1" x14ac:dyDescent="0.25">
      <c r="B74" s="212">
        <v>58</v>
      </c>
      <c r="C74" s="215" t="s">
        <v>973</v>
      </c>
      <c r="D74" s="214">
        <v>98</v>
      </c>
      <c r="E74" s="214" t="s">
        <v>526</v>
      </c>
      <c r="F74" s="212">
        <v>124</v>
      </c>
      <c r="G74" s="215" t="s">
        <v>972</v>
      </c>
      <c r="H74" s="214">
        <v>66</v>
      </c>
      <c r="I74" s="214" t="s">
        <v>527</v>
      </c>
      <c r="J74" s="212"/>
      <c r="K74" s="213"/>
      <c r="L74" s="212"/>
      <c r="M74" s="212"/>
    </row>
    <row r="75" spans="2:13" ht="18" customHeight="1" x14ac:dyDescent="0.25">
      <c r="B75" s="212">
        <v>59</v>
      </c>
      <c r="C75" s="215" t="s">
        <v>971</v>
      </c>
      <c r="D75" s="214">
        <v>46</v>
      </c>
      <c r="E75" s="214" t="s">
        <v>525</v>
      </c>
      <c r="F75" s="212">
        <v>125</v>
      </c>
      <c r="G75" s="215" t="s">
        <v>970</v>
      </c>
      <c r="H75" s="214">
        <v>123</v>
      </c>
      <c r="I75" s="214" t="s">
        <v>538</v>
      </c>
      <c r="J75" s="212"/>
      <c r="K75" s="213"/>
      <c r="L75" s="212"/>
      <c r="M75" s="212"/>
    </row>
    <row r="76" spans="2:13" ht="18" customHeight="1" x14ac:dyDescent="0.25">
      <c r="B76" s="212">
        <v>60</v>
      </c>
      <c r="C76" s="215" t="s">
        <v>969</v>
      </c>
      <c r="D76" s="214">
        <v>104</v>
      </c>
      <c r="E76" s="214" t="s">
        <v>549</v>
      </c>
      <c r="F76" s="212">
        <v>126</v>
      </c>
      <c r="G76" s="215" t="s">
        <v>968</v>
      </c>
      <c r="H76" s="214">
        <v>92</v>
      </c>
      <c r="I76" s="214" t="s">
        <v>536</v>
      </c>
      <c r="J76" s="212"/>
      <c r="K76" s="213"/>
      <c r="L76" s="212"/>
      <c r="M76" s="212"/>
    </row>
    <row r="77" spans="2:13" ht="18" customHeight="1" x14ac:dyDescent="0.25">
      <c r="B77" s="212">
        <v>61</v>
      </c>
      <c r="C77" s="215" t="s">
        <v>967</v>
      </c>
      <c r="D77" s="214">
        <v>122</v>
      </c>
      <c r="E77" s="214" t="s">
        <v>528</v>
      </c>
      <c r="F77" s="212">
        <v>127</v>
      </c>
      <c r="G77" s="215" t="s">
        <v>966</v>
      </c>
      <c r="H77" s="214">
        <v>91</v>
      </c>
      <c r="I77" s="214" t="s">
        <v>549</v>
      </c>
      <c r="J77" s="212"/>
      <c r="K77" s="213"/>
      <c r="L77" s="212"/>
      <c r="M77" s="212"/>
    </row>
    <row r="78" spans="2:13" ht="18" customHeight="1" x14ac:dyDescent="0.25">
      <c r="B78" s="212">
        <v>62</v>
      </c>
      <c r="C78" s="215" t="s">
        <v>965</v>
      </c>
      <c r="D78" s="214">
        <v>124</v>
      </c>
      <c r="E78" s="214" t="s">
        <v>533</v>
      </c>
      <c r="F78" s="212">
        <v>128</v>
      </c>
      <c r="G78" s="215" t="s">
        <v>964</v>
      </c>
      <c r="H78" s="214">
        <v>64</v>
      </c>
      <c r="I78" s="214" t="s">
        <v>526</v>
      </c>
      <c r="J78" s="212"/>
      <c r="K78" s="213"/>
      <c r="L78" s="212"/>
      <c r="M78" s="212"/>
    </row>
    <row r="79" spans="2:13" ht="18" customHeight="1" x14ac:dyDescent="0.25">
      <c r="B79" s="212">
        <v>63</v>
      </c>
      <c r="C79" s="215" t="s">
        <v>963</v>
      </c>
      <c r="D79" s="214">
        <v>88</v>
      </c>
      <c r="E79" s="214" t="s">
        <v>533</v>
      </c>
      <c r="F79" s="212">
        <v>129</v>
      </c>
      <c r="G79" s="215" t="s">
        <v>962</v>
      </c>
      <c r="H79" s="214">
        <v>8</v>
      </c>
      <c r="I79" s="214" t="s">
        <v>535</v>
      </c>
      <c r="J79" s="212"/>
      <c r="K79" s="213"/>
      <c r="L79" s="212"/>
      <c r="M79" s="212"/>
    </row>
    <row r="80" spans="2:13" ht="18" customHeight="1" x14ac:dyDescent="0.25">
      <c r="B80" s="212">
        <v>64</v>
      </c>
      <c r="C80" s="215" t="s">
        <v>961</v>
      </c>
      <c r="D80" s="214">
        <v>185</v>
      </c>
      <c r="E80" s="214" t="s">
        <v>537</v>
      </c>
      <c r="F80" s="212">
        <v>130</v>
      </c>
      <c r="G80" s="215" t="s">
        <v>960</v>
      </c>
      <c r="H80" s="214">
        <v>135</v>
      </c>
      <c r="I80" s="214" t="s">
        <v>549</v>
      </c>
      <c r="J80" s="212"/>
      <c r="K80" s="213"/>
      <c r="L80" s="212"/>
      <c r="M80" s="212"/>
    </row>
    <row r="81" spans="2:16" ht="18" customHeight="1" x14ac:dyDescent="0.25">
      <c r="B81" s="212">
        <v>65</v>
      </c>
      <c r="C81" s="215" t="s">
        <v>959</v>
      </c>
      <c r="D81" s="214">
        <v>91</v>
      </c>
      <c r="E81" s="214" t="s">
        <v>531</v>
      </c>
      <c r="F81" s="212">
        <v>131</v>
      </c>
      <c r="G81" s="215" t="s">
        <v>958</v>
      </c>
      <c r="H81" s="214">
        <v>140</v>
      </c>
      <c r="I81" s="214" t="s">
        <v>549</v>
      </c>
      <c r="J81" s="212"/>
      <c r="K81" s="213"/>
      <c r="L81" s="212"/>
      <c r="M81" s="212"/>
    </row>
    <row r="82" spans="2:16" ht="18" customHeight="1" x14ac:dyDescent="0.25">
      <c r="B82" s="212">
        <v>66</v>
      </c>
      <c r="C82" s="215" t="s">
        <v>957</v>
      </c>
      <c r="D82" s="214">
        <v>91</v>
      </c>
      <c r="E82" s="214" t="s">
        <v>549</v>
      </c>
      <c r="F82" s="212">
        <v>132</v>
      </c>
      <c r="G82" s="215" t="s">
        <v>956</v>
      </c>
      <c r="H82" s="214">
        <v>51</v>
      </c>
      <c r="I82" s="214" t="s">
        <v>548</v>
      </c>
      <c r="J82" s="212"/>
      <c r="K82" s="213"/>
      <c r="L82" s="212"/>
      <c r="M82" s="212"/>
    </row>
    <row r="86" spans="2:16" ht="18" customHeight="1" x14ac:dyDescent="0.25">
      <c r="C86" s="211" t="s">
        <v>520</v>
      </c>
      <c r="D86" s="63"/>
      <c r="G86" s="211" t="s">
        <v>521</v>
      </c>
      <c r="H86" s="63"/>
      <c r="I86" s="63"/>
      <c r="J86" s="210"/>
      <c r="K86" s="211" t="s">
        <v>694</v>
      </c>
      <c r="L86" s="63"/>
      <c r="M86" s="63"/>
    </row>
    <row r="87" spans="2:16" ht="18" customHeight="1" x14ac:dyDescent="0.25">
      <c r="C87" s="211" t="s">
        <v>522</v>
      </c>
      <c r="D87" s="63"/>
      <c r="G87" s="211" t="s">
        <v>522</v>
      </c>
      <c r="H87" s="63"/>
      <c r="I87" s="63"/>
      <c r="J87" s="210"/>
      <c r="K87" s="211" t="s">
        <v>522</v>
      </c>
      <c r="L87" s="63"/>
      <c r="M87" s="63"/>
    </row>
    <row r="88" spans="2:16" ht="18" customHeight="1" x14ac:dyDescent="0.25">
      <c r="C88" s="210"/>
      <c r="D88" s="210"/>
      <c r="G88" s="210"/>
      <c r="H88" s="210"/>
      <c r="I88" s="210"/>
      <c r="J88" s="210"/>
      <c r="K88" s="210"/>
      <c r="L88" s="210"/>
      <c r="M88" s="210"/>
    </row>
    <row r="89" spans="2:16" x14ac:dyDescent="0.25">
      <c r="B89" s="209" t="s">
        <v>955</v>
      </c>
      <c r="C89" s="206"/>
      <c r="D89" s="209" t="s">
        <v>954</v>
      </c>
      <c r="E89" s="206"/>
      <c r="F89" s="209"/>
      <c r="G89" s="207" t="s">
        <v>953</v>
      </c>
      <c r="H89" s="208" t="s">
        <v>952</v>
      </c>
      <c r="I89" s="206"/>
      <c r="J89" s="208"/>
      <c r="K89" s="209" t="s">
        <v>951</v>
      </c>
      <c r="L89" s="207" t="s">
        <v>950</v>
      </c>
      <c r="M89" s="205"/>
      <c r="N89" s="201"/>
      <c r="P89" s="201"/>
    </row>
    <row r="90" spans="2:16" x14ac:dyDescent="0.25">
      <c r="B90" s="209" t="s">
        <v>949</v>
      </c>
      <c r="C90" s="206"/>
      <c r="D90" s="209" t="s">
        <v>948</v>
      </c>
      <c r="E90" s="206"/>
      <c r="F90" s="209"/>
      <c r="G90" s="208" t="s">
        <v>947</v>
      </c>
      <c r="H90" s="208" t="s">
        <v>946</v>
      </c>
      <c r="I90" s="206"/>
      <c r="J90" s="208"/>
      <c r="K90" s="209" t="s">
        <v>945</v>
      </c>
      <c r="L90" s="207" t="s">
        <v>944</v>
      </c>
      <c r="M90" s="205"/>
      <c r="N90" s="201"/>
      <c r="P90" s="201"/>
    </row>
    <row r="91" spans="2:16" x14ac:dyDescent="0.25">
      <c r="B91" s="209" t="s">
        <v>943</v>
      </c>
      <c r="C91" s="206"/>
      <c r="D91" s="207" t="s">
        <v>942</v>
      </c>
      <c r="E91" s="206"/>
      <c r="F91" s="209"/>
      <c r="G91" s="209" t="s">
        <v>941</v>
      </c>
      <c r="H91" s="208" t="s">
        <v>940</v>
      </c>
      <c r="I91" s="206"/>
      <c r="J91" s="208"/>
      <c r="K91" s="209" t="s">
        <v>939</v>
      </c>
      <c r="L91" s="206"/>
      <c r="M91" s="205"/>
      <c r="N91" s="201"/>
      <c r="P91" s="201"/>
    </row>
    <row r="92" spans="2:16" x14ac:dyDescent="0.25">
      <c r="B92" s="209" t="s">
        <v>938</v>
      </c>
      <c r="C92" s="206"/>
      <c r="D92" s="207" t="s">
        <v>937</v>
      </c>
      <c r="E92" s="206"/>
      <c r="F92" s="209"/>
      <c r="G92" s="208" t="s">
        <v>936</v>
      </c>
      <c r="H92" s="208" t="s">
        <v>935</v>
      </c>
      <c r="I92" s="206"/>
      <c r="J92" s="208"/>
      <c r="K92" s="209" t="s">
        <v>934</v>
      </c>
      <c r="L92" s="206"/>
      <c r="M92" s="205"/>
      <c r="N92" s="201"/>
      <c r="P92" s="201"/>
    </row>
    <row r="93" spans="2:16" x14ac:dyDescent="0.25">
      <c r="B93" s="209" t="s">
        <v>933</v>
      </c>
      <c r="C93" s="206"/>
      <c r="D93" s="207" t="s">
        <v>932</v>
      </c>
      <c r="E93" s="206"/>
      <c r="F93" s="208"/>
      <c r="G93" s="208" t="s">
        <v>931</v>
      </c>
      <c r="H93" s="209" t="s">
        <v>930</v>
      </c>
      <c r="I93" s="206"/>
      <c r="J93" s="208"/>
      <c r="K93" s="209" t="s">
        <v>929</v>
      </c>
      <c r="L93" s="206"/>
      <c r="M93" s="205"/>
      <c r="N93" s="201"/>
      <c r="P93" s="201"/>
    </row>
    <row r="94" spans="2:16" x14ac:dyDescent="0.25">
      <c r="B94" s="209" t="s">
        <v>928</v>
      </c>
      <c r="C94" s="206"/>
      <c r="D94" s="209" t="s">
        <v>927</v>
      </c>
      <c r="E94" s="208"/>
      <c r="F94" s="208"/>
      <c r="G94" s="207" t="s">
        <v>926</v>
      </c>
      <c r="H94" s="209" t="s">
        <v>925</v>
      </c>
      <c r="I94" s="206"/>
      <c r="J94" s="208"/>
      <c r="K94" s="207" t="s">
        <v>924</v>
      </c>
      <c r="L94" s="206"/>
      <c r="M94" s="205"/>
      <c r="N94" s="201"/>
      <c r="P94" s="201"/>
    </row>
    <row r="95" spans="2:16" x14ac:dyDescent="0.25">
      <c r="D95" s="204"/>
      <c r="E95" s="204"/>
      <c r="F95" s="204"/>
      <c r="H95" s="204"/>
      <c r="I95" s="204"/>
      <c r="J95" s="204"/>
      <c r="M95" s="202"/>
      <c r="N95" s="201"/>
      <c r="P95" s="201"/>
    </row>
    <row r="96" spans="2:16" x14ac:dyDescent="0.25">
      <c r="D96" s="203"/>
      <c r="E96" s="203"/>
      <c r="F96" s="203"/>
      <c r="H96" s="204"/>
      <c r="I96" s="204"/>
      <c r="J96" s="204"/>
      <c r="M96" s="202"/>
      <c r="N96" s="201"/>
      <c r="P96" s="201"/>
    </row>
    <row r="97" spans="4:16" x14ac:dyDescent="0.25">
      <c r="D97" s="203"/>
      <c r="E97" s="203"/>
      <c r="F97" s="203"/>
      <c r="H97" s="204"/>
      <c r="I97" s="204"/>
      <c r="J97" s="204"/>
      <c r="L97" s="204"/>
      <c r="M97" s="202"/>
      <c r="N97" s="201"/>
      <c r="P97" s="201"/>
    </row>
    <row r="98" spans="4:16" x14ac:dyDescent="0.25">
      <c r="D98" s="203"/>
      <c r="E98" s="203"/>
      <c r="F98" s="203"/>
      <c r="H98" s="204"/>
      <c r="I98" s="204"/>
      <c r="J98" s="204"/>
      <c r="L98" s="204"/>
      <c r="M98" s="202"/>
      <c r="N98" s="201"/>
      <c r="P98" s="201"/>
    </row>
    <row r="99" spans="4:16" x14ac:dyDescent="0.25">
      <c r="D99" s="203"/>
      <c r="E99" s="203"/>
      <c r="F99" s="203"/>
      <c r="H99" s="204"/>
      <c r="I99" s="204"/>
      <c r="J99" s="204"/>
      <c r="K99" s="204"/>
      <c r="L99" s="203"/>
      <c r="M99" s="202"/>
      <c r="N99" s="201"/>
      <c r="O99" s="201"/>
      <c r="P99" s="201"/>
    </row>
  </sheetData>
  <mergeCells count="31">
    <mergeCell ref="C86:D86"/>
    <mergeCell ref="H13:K13"/>
    <mergeCell ref="D6:E6"/>
    <mergeCell ref="K86:M86"/>
    <mergeCell ref="C1:M1"/>
    <mergeCell ref="E2:K2"/>
    <mergeCell ref="E3:K3"/>
    <mergeCell ref="E4:K4"/>
    <mergeCell ref="D7:K7"/>
    <mergeCell ref="E8:F8"/>
    <mergeCell ref="B8:D8"/>
    <mergeCell ref="B12:D12"/>
    <mergeCell ref="B13:D13"/>
    <mergeCell ref="E9:F9"/>
    <mergeCell ref="C87:D87"/>
    <mergeCell ref="G86:I86"/>
    <mergeCell ref="G87:I87"/>
    <mergeCell ref="E10:F10"/>
    <mergeCell ref="E11:F11"/>
    <mergeCell ref="E12:F12"/>
    <mergeCell ref="E13:F13"/>
    <mergeCell ref="K87:M87"/>
    <mergeCell ref="B14:G14"/>
    <mergeCell ref="H8:K8"/>
    <mergeCell ref="H9:K9"/>
    <mergeCell ref="H10:K10"/>
    <mergeCell ref="H11:K11"/>
    <mergeCell ref="H12:K12"/>
    <mergeCell ref="B9:D9"/>
    <mergeCell ref="B10:D10"/>
    <mergeCell ref="B11:D11"/>
  </mergeCells>
  <pageMargins left="0.55000000000000004" right="0.55000000000000004" top="0.5" bottom="0.1" header="0.3" footer="0.3"/>
  <pageSetup paperSize="9" scale="48" orientation="portrait" r:id="rId1"/>
  <headerFooter>
    <oddHeader>&amp;R&amp;"Arial,Bold"&amp;14 QF-LDC-09
page 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3590-301F-40E0-9E6D-8545F58CE13D}">
  <dimension ref="A1:H40"/>
  <sheetViews>
    <sheetView topLeftCell="B1" zoomScaleNormal="100" zoomScaleSheetLayoutView="85" workbookViewId="0">
      <selection activeCell="L7" sqref="L7"/>
    </sheetView>
  </sheetViews>
  <sheetFormatPr defaultRowHeight="14.25" x14ac:dyDescent="0.2"/>
  <cols>
    <col min="1" max="1" width="7.7109375" style="13" customWidth="1"/>
    <col min="2" max="2" width="25.28515625" style="13" customWidth="1"/>
    <col min="3" max="8" width="22.7109375" style="13" customWidth="1"/>
    <col min="9" max="9" width="7.7109375" style="13" customWidth="1"/>
    <col min="10" max="10" width="9.140625" style="13" customWidth="1"/>
    <col min="11" max="16384" width="9.140625" style="13"/>
  </cols>
  <sheetData>
    <row r="1" spans="1:8" ht="21" customHeight="1" x14ac:dyDescent="0.2">
      <c r="B1" s="62"/>
      <c r="C1" s="244"/>
      <c r="D1" s="244"/>
      <c r="E1" s="244"/>
      <c r="F1" s="244"/>
      <c r="G1" s="244"/>
      <c r="H1" s="244"/>
    </row>
    <row r="2" spans="1:8" ht="39.950000000000003" customHeight="1" x14ac:dyDescent="0.2">
      <c r="B2" s="256" t="s">
        <v>0</v>
      </c>
      <c r="C2" s="244"/>
      <c r="D2" s="244"/>
      <c r="E2" s="244"/>
      <c r="F2" s="244"/>
      <c r="G2" s="244"/>
      <c r="H2" s="244"/>
    </row>
    <row r="3" spans="1:8" ht="39.950000000000003" customHeight="1" x14ac:dyDescent="0.2">
      <c r="B3" s="255" t="s">
        <v>1</v>
      </c>
      <c r="C3" s="244"/>
      <c r="D3" s="244"/>
      <c r="E3" s="244"/>
      <c r="F3" s="244"/>
      <c r="G3" s="244"/>
      <c r="H3" s="244"/>
    </row>
    <row r="4" spans="1:8" ht="39.950000000000003" customHeight="1" x14ac:dyDescent="0.2">
      <c r="B4" s="255" t="s">
        <v>1151</v>
      </c>
      <c r="C4" s="244"/>
      <c r="D4" s="244"/>
      <c r="E4" s="244"/>
      <c r="F4" s="244"/>
      <c r="G4" s="244"/>
      <c r="H4" s="244"/>
    </row>
    <row r="5" spans="1:8" ht="35.1" customHeight="1" x14ac:dyDescent="0.2">
      <c r="B5" s="254"/>
      <c r="C5" s="254"/>
      <c r="D5" s="254"/>
      <c r="E5" s="254"/>
      <c r="F5" s="254"/>
      <c r="G5" s="254"/>
      <c r="H5" s="254"/>
    </row>
    <row r="6" spans="1:8" ht="35.1" customHeight="1" x14ac:dyDescent="0.2">
      <c r="B6" s="2"/>
      <c r="C6" s="3"/>
      <c r="D6" s="3"/>
      <c r="E6" s="3"/>
      <c r="F6" s="3"/>
      <c r="G6" s="3"/>
      <c r="H6" s="3"/>
    </row>
    <row r="7" spans="1:8" ht="39.950000000000003" customHeight="1" thickBot="1" x14ac:dyDescent="0.25">
      <c r="B7" s="253" t="s">
        <v>3</v>
      </c>
      <c r="C7" s="252" t="s">
        <v>15</v>
      </c>
      <c r="D7" s="177"/>
      <c r="E7" s="200"/>
      <c r="F7" s="200"/>
      <c r="G7" s="200"/>
      <c r="H7" s="200"/>
    </row>
    <row r="8" spans="1:8" ht="39.950000000000003" customHeight="1" thickBot="1" x14ac:dyDescent="0.3">
      <c r="B8" s="251" t="s">
        <v>494</v>
      </c>
      <c r="C8" s="250" t="s">
        <v>495</v>
      </c>
      <c r="D8" s="61"/>
      <c r="E8" s="250" t="s">
        <v>496</v>
      </c>
      <c r="F8" s="61"/>
      <c r="G8" s="249" t="s">
        <v>497</v>
      </c>
      <c r="H8" s="61"/>
    </row>
    <row r="9" spans="1:8" s="246" customFormat="1" ht="39.950000000000003" customHeight="1" thickBot="1" x14ac:dyDescent="0.3">
      <c r="A9" s="200"/>
      <c r="B9" s="248">
        <v>0</v>
      </c>
      <c r="C9" s="247">
        <v>16364.16</v>
      </c>
      <c r="D9" s="61"/>
      <c r="E9" s="247">
        <v>312</v>
      </c>
      <c r="F9" s="61"/>
      <c r="G9" s="247">
        <v>16690.2</v>
      </c>
      <c r="H9" s="61"/>
    </row>
    <row r="10" spans="1:8" s="246" customFormat="1" ht="39.950000000000003" customHeight="1" thickBot="1" x14ac:dyDescent="0.3">
      <c r="B10" s="248">
        <v>4.1666666666666657E-2</v>
      </c>
      <c r="C10" s="247">
        <v>16092.96</v>
      </c>
      <c r="D10" s="61"/>
      <c r="E10" s="247">
        <v>437</v>
      </c>
      <c r="F10" s="61"/>
      <c r="G10" s="247">
        <v>16549.96</v>
      </c>
      <c r="H10" s="61"/>
    </row>
    <row r="11" spans="1:8" s="246" customFormat="1" ht="39.950000000000003" customHeight="1" thickBot="1" x14ac:dyDescent="0.3">
      <c r="B11" s="248">
        <v>8.3333333333333329E-2</v>
      </c>
      <c r="C11" s="247">
        <v>15847.37</v>
      </c>
      <c r="D11" s="61"/>
      <c r="E11" s="247">
        <v>434</v>
      </c>
      <c r="F11" s="61"/>
      <c r="G11" s="247">
        <v>16300.9</v>
      </c>
      <c r="H11" s="61"/>
    </row>
    <row r="12" spans="1:8" s="246" customFormat="1" ht="39.950000000000003" customHeight="1" thickBot="1" x14ac:dyDescent="0.3">
      <c r="B12" s="248">
        <v>0.125</v>
      </c>
      <c r="C12" s="247">
        <v>15492.92</v>
      </c>
      <c r="D12" s="61"/>
      <c r="E12" s="247">
        <v>343</v>
      </c>
      <c r="F12" s="61"/>
      <c r="G12" s="247">
        <v>15851.36</v>
      </c>
      <c r="H12" s="61"/>
    </row>
    <row r="13" spans="1:8" s="246" customFormat="1" ht="39.950000000000003" customHeight="1" thickBot="1" x14ac:dyDescent="0.3">
      <c r="B13" s="248">
        <v>0.16666666666666671</v>
      </c>
      <c r="C13" s="247">
        <v>15104.12</v>
      </c>
      <c r="D13" s="61"/>
      <c r="E13" s="247">
        <v>331</v>
      </c>
      <c r="F13" s="61"/>
      <c r="G13" s="247">
        <v>15450.02</v>
      </c>
      <c r="H13" s="61"/>
    </row>
    <row r="14" spans="1:8" s="246" customFormat="1" ht="39.950000000000003" customHeight="1" thickBot="1" x14ac:dyDescent="0.3">
      <c r="B14" s="248">
        <v>0.20833333333333329</v>
      </c>
      <c r="C14" s="247">
        <v>14886.46</v>
      </c>
      <c r="D14" s="61"/>
      <c r="E14" s="247">
        <v>301</v>
      </c>
      <c r="F14" s="61"/>
      <c r="G14" s="247">
        <v>15201.01</v>
      </c>
      <c r="H14" s="61"/>
    </row>
    <row r="15" spans="1:8" s="246" customFormat="1" ht="39.950000000000003" customHeight="1" thickBot="1" x14ac:dyDescent="0.3">
      <c r="B15" s="248">
        <v>0.25</v>
      </c>
      <c r="C15" s="247">
        <v>13995.53</v>
      </c>
      <c r="D15" s="61"/>
      <c r="E15" s="247">
        <v>293</v>
      </c>
      <c r="F15" s="61"/>
      <c r="G15" s="247">
        <v>14301.72</v>
      </c>
      <c r="H15" s="61"/>
    </row>
    <row r="16" spans="1:8" s="246" customFormat="1" ht="39.950000000000003" customHeight="1" thickBot="1" x14ac:dyDescent="0.3">
      <c r="B16" s="248">
        <v>0.29166666666666669</v>
      </c>
      <c r="C16" s="247">
        <v>13739.33</v>
      </c>
      <c r="D16" s="61"/>
      <c r="E16" s="247">
        <v>252</v>
      </c>
      <c r="F16" s="61"/>
      <c r="G16" s="247">
        <v>14002.67</v>
      </c>
      <c r="H16" s="61"/>
    </row>
    <row r="17" spans="2:8" s="246" customFormat="1" ht="39.950000000000003" customHeight="1" thickBot="1" x14ac:dyDescent="0.3">
      <c r="B17" s="248">
        <v>0.33333333333333331</v>
      </c>
      <c r="C17" s="247">
        <v>13596.17</v>
      </c>
      <c r="D17" s="61"/>
      <c r="E17" s="247">
        <v>245</v>
      </c>
      <c r="F17" s="61"/>
      <c r="G17" s="247">
        <v>13852.17</v>
      </c>
      <c r="H17" s="61"/>
    </row>
    <row r="18" spans="2:8" s="246" customFormat="1" ht="39.950000000000003" customHeight="1" thickBot="1" x14ac:dyDescent="0.3">
      <c r="B18" s="248">
        <v>0.375</v>
      </c>
      <c r="C18" s="247">
        <v>13814.89</v>
      </c>
      <c r="D18" s="61"/>
      <c r="E18" s="247">
        <v>181</v>
      </c>
      <c r="F18" s="61"/>
      <c r="G18" s="247">
        <v>14003.89</v>
      </c>
      <c r="H18" s="61"/>
    </row>
    <row r="19" spans="2:8" s="246" customFormat="1" ht="39.950000000000003" customHeight="1" thickBot="1" x14ac:dyDescent="0.3">
      <c r="B19" s="248">
        <v>0.41666666666666669</v>
      </c>
      <c r="C19" s="247">
        <v>13959.55</v>
      </c>
      <c r="D19" s="61"/>
      <c r="E19" s="247">
        <v>158</v>
      </c>
      <c r="F19" s="61"/>
      <c r="G19" s="247">
        <v>14124.55</v>
      </c>
      <c r="H19" s="61"/>
    </row>
    <row r="20" spans="2:8" s="246" customFormat="1" ht="39.950000000000003" customHeight="1" thickBot="1" x14ac:dyDescent="0.3">
      <c r="B20" s="248">
        <v>0.45833333333333331</v>
      </c>
      <c r="C20" s="247">
        <v>14381.97</v>
      </c>
      <c r="D20" s="61"/>
      <c r="E20" s="247">
        <v>182</v>
      </c>
      <c r="F20" s="61"/>
      <c r="G20" s="247">
        <v>14571.97</v>
      </c>
      <c r="H20" s="61"/>
    </row>
    <row r="21" spans="2:8" s="246" customFormat="1" ht="39.950000000000003" customHeight="1" thickBot="1" x14ac:dyDescent="0.3">
      <c r="B21" s="248">
        <v>0.5</v>
      </c>
      <c r="C21" s="247">
        <v>14736.73</v>
      </c>
      <c r="D21" s="61"/>
      <c r="E21" s="247">
        <v>207</v>
      </c>
      <c r="F21" s="61"/>
      <c r="G21" s="247">
        <v>14952.73</v>
      </c>
      <c r="H21" s="61"/>
    </row>
    <row r="22" spans="2:8" s="246" customFormat="1" ht="39.950000000000003" customHeight="1" thickBot="1" x14ac:dyDescent="0.3">
      <c r="B22" s="248">
        <v>0.54166666666666663</v>
      </c>
      <c r="C22" s="247">
        <v>15158.72</v>
      </c>
      <c r="D22" s="61"/>
      <c r="E22" s="247">
        <v>217</v>
      </c>
      <c r="F22" s="61"/>
      <c r="G22" s="247">
        <v>15385.72</v>
      </c>
      <c r="H22" s="61"/>
    </row>
    <row r="23" spans="2:8" s="246" customFormat="1" ht="39.950000000000003" customHeight="1" thickBot="1" x14ac:dyDescent="0.3">
      <c r="B23" s="248">
        <v>0.58333333333333337</v>
      </c>
      <c r="C23" s="247">
        <v>15555.55</v>
      </c>
      <c r="D23" s="61"/>
      <c r="E23" s="247">
        <v>256</v>
      </c>
      <c r="F23" s="61"/>
      <c r="G23" s="247">
        <v>15823.55</v>
      </c>
      <c r="H23" s="61"/>
    </row>
    <row r="24" spans="2:8" s="246" customFormat="1" ht="39.950000000000003" customHeight="1" thickBot="1" x14ac:dyDescent="0.3">
      <c r="B24" s="248">
        <v>0.625</v>
      </c>
      <c r="C24" s="247">
        <v>15442.93</v>
      </c>
      <c r="D24" s="61"/>
      <c r="E24" s="247">
        <v>248</v>
      </c>
      <c r="F24" s="61"/>
      <c r="G24" s="247">
        <v>15701.93</v>
      </c>
      <c r="H24" s="61"/>
    </row>
    <row r="25" spans="2:8" s="246" customFormat="1" ht="39.950000000000003" customHeight="1" thickBot="1" x14ac:dyDescent="0.3">
      <c r="B25" s="248">
        <v>0.66666666666666663</v>
      </c>
      <c r="C25" s="247">
        <v>14856.12</v>
      </c>
      <c r="D25" s="61"/>
      <c r="E25" s="247">
        <v>170</v>
      </c>
      <c r="F25" s="61"/>
      <c r="G25" s="247">
        <v>15033.77</v>
      </c>
      <c r="H25" s="61"/>
    </row>
    <row r="26" spans="2:8" s="246" customFormat="1" ht="39.950000000000003" customHeight="1" thickBot="1" x14ac:dyDescent="0.3">
      <c r="B26" s="248">
        <v>0.70833333333333337</v>
      </c>
      <c r="C26" s="247">
        <v>13946.11</v>
      </c>
      <c r="D26" s="61"/>
      <c r="E26" s="247">
        <v>35</v>
      </c>
      <c r="F26" s="61"/>
      <c r="G26" s="247">
        <v>13982.69</v>
      </c>
      <c r="H26" s="61"/>
    </row>
    <row r="27" spans="2:8" s="246" customFormat="1" ht="39.950000000000003" customHeight="1" thickBot="1" x14ac:dyDescent="0.3">
      <c r="B27" s="248">
        <v>0.75</v>
      </c>
      <c r="C27" s="247">
        <v>12767.83</v>
      </c>
      <c r="D27" s="61"/>
      <c r="E27" s="247">
        <v>0</v>
      </c>
      <c r="F27" s="61"/>
      <c r="G27" s="247">
        <v>12767.83</v>
      </c>
      <c r="H27" s="61"/>
    </row>
    <row r="28" spans="2:8" s="246" customFormat="1" ht="39.950000000000003" customHeight="1" thickBot="1" x14ac:dyDescent="0.3">
      <c r="B28" s="248">
        <v>0.79166666666666663</v>
      </c>
      <c r="C28" s="247">
        <v>13940.94</v>
      </c>
      <c r="D28" s="61"/>
      <c r="E28" s="247">
        <v>48</v>
      </c>
      <c r="F28" s="61"/>
      <c r="G28" s="247">
        <v>13990.94</v>
      </c>
      <c r="H28" s="61"/>
    </row>
    <row r="29" spans="2:8" s="246" customFormat="1" ht="39.950000000000003" customHeight="1" thickBot="1" x14ac:dyDescent="0.3">
      <c r="B29" s="248">
        <v>0.8125</v>
      </c>
      <c r="C29" s="247">
        <v>14938.73</v>
      </c>
      <c r="D29" s="61"/>
      <c r="E29" s="247">
        <v>50</v>
      </c>
      <c r="F29" s="61"/>
      <c r="G29" s="247">
        <v>14990.73</v>
      </c>
      <c r="H29" s="61"/>
    </row>
    <row r="30" spans="2:8" s="246" customFormat="1" ht="39.950000000000003" customHeight="1" thickBot="1" x14ac:dyDescent="0.3">
      <c r="B30" s="248">
        <v>0.83333333333333337</v>
      </c>
      <c r="C30" s="247">
        <v>14904.72</v>
      </c>
      <c r="D30" s="61"/>
      <c r="E30" s="247">
        <v>39</v>
      </c>
      <c r="F30" s="61"/>
      <c r="G30" s="247">
        <v>14945.72</v>
      </c>
      <c r="H30" s="61"/>
    </row>
    <row r="31" spans="2:8" s="246" customFormat="1" ht="39.950000000000003" customHeight="1" thickBot="1" x14ac:dyDescent="0.3">
      <c r="B31" s="248">
        <v>0.875</v>
      </c>
      <c r="C31" s="247">
        <v>15044.5</v>
      </c>
      <c r="D31" s="61"/>
      <c r="E31" s="247">
        <v>0</v>
      </c>
      <c r="F31" s="61"/>
      <c r="G31" s="247">
        <v>15044.5</v>
      </c>
      <c r="H31" s="61"/>
    </row>
    <row r="32" spans="2:8" s="246" customFormat="1" ht="39.950000000000003" customHeight="1" thickBot="1" x14ac:dyDescent="0.3">
      <c r="B32" s="248">
        <v>0.91666666666666663</v>
      </c>
      <c r="C32" s="247">
        <v>15063</v>
      </c>
      <c r="D32" s="61"/>
      <c r="E32" s="247">
        <v>64</v>
      </c>
      <c r="F32" s="61"/>
      <c r="G32" s="247">
        <v>15130</v>
      </c>
      <c r="H32" s="61"/>
    </row>
    <row r="33" spans="2:8" s="246" customFormat="1" ht="39.950000000000003" customHeight="1" thickBot="1" x14ac:dyDescent="0.3">
      <c r="B33" s="248">
        <v>0.95833333333333337</v>
      </c>
      <c r="C33" s="247">
        <v>15222.5</v>
      </c>
      <c r="D33" s="61"/>
      <c r="E33" s="247">
        <v>46</v>
      </c>
      <c r="F33" s="61"/>
      <c r="G33" s="247">
        <v>15270.5</v>
      </c>
      <c r="H33" s="61"/>
    </row>
    <row r="34" spans="2:8" ht="35.1" customHeight="1" x14ac:dyDescent="0.2"/>
    <row r="35" spans="2:8" ht="35.1" customHeight="1" x14ac:dyDescent="0.2"/>
    <row r="36" spans="2:8" ht="35.1" customHeight="1" x14ac:dyDescent="0.2"/>
    <row r="37" spans="2:8" ht="35.1" customHeight="1" x14ac:dyDescent="0.2"/>
    <row r="38" spans="2:8" ht="35.1" customHeight="1" x14ac:dyDescent="0.2"/>
    <row r="39" spans="2:8" ht="35.1" customHeight="1" x14ac:dyDescent="0.2">
      <c r="B39" s="88" t="s">
        <v>520</v>
      </c>
      <c r="C39" s="244"/>
      <c r="D39" s="244"/>
      <c r="E39" s="245"/>
      <c r="F39" s="88" t="s">
        <v>521</v>
      </c>
      <c r="G39" s="244"/>
      <c r="H39" s="244"/>
    </row>
    <row r="40" spans="2:8" ht="35.1" customHeight="1" x14ac:dyDescent="0.2">
      <c r="B40" s="88" t="s">
        <v>522</v>
      </c>
      <c r="C40" s="244"/>
      <c r="D40" s="244"/>
      <c r="E40" s="245"/>
      <c r="F40" s="88" t="s">
        <v>522</v>
      </c>
      <c r="G40" s="244"/>
      <c r="H40" s="244"/>
    </row>
  </sheetData>
  <mergeCells count="86">
    <mergeCell ref="B40:D40"/>
    <mergeCell ref="F40:H40"/>
    <mergeCell ref="C29:D29"/>
    <mergeCell ref="E29:F29"/>
    <mergeCell ref="G29:H29"/>
    <mergeCell ref="C30:D30"/>
    <mergeCell ref="G32:H32"/>
    <mergeCell ref="G33:H33"/>
    <mergeCell ref="E32:F32"/>
    <mergeCell ref="E33:F33"/>
    <mergeCell ref="E26:F26"/>
    <mergeCell ref="E27:F27"/>
    <mergeCell ref="E28:F28"/>
    <mergeCell ref="E30:F30"/>
    <mergeCell ref="B39:D39"/>
    <mergeCell ref="F39:H39"/>
    <mergeCell ref="C32:D32"/>
    <mergeCell ref="C33:D33"/>
    <mergeCell ref="C26:D26"/>
    <mergeCell ref="C27:D27"/>
    <mergeCell ref="C28:D28"/>
    <mergeCell ref="G31:H31"/>
    <mergeCell ref="G25:H25"/>
    <mergeCell ref="G26:H26"/>
    <mergeCell ref="G27:H27"/>
    <mergeCell ref="G28:H28"/>
    <mergeCell ref="C31:D31"/>
    <mergeCell ref="G30:H30"/>
    <mergeCell ref="G9:H9"/>
    <mergeCell ref="G10:H10"/>
    <mergeCell ref="G11:H11"/>
    <mergeCell ref="G12:H12"/>
    <mergeCell ref="G13:H13"/>
    <mergeCell ref="C25:D25"/>
    <mergeCell ref="E19:F19"/>
    <mergeCell ref="E20:F20"/>
    <mergeCell ref="G23:H23"/>
    <mergeCell ref="G24:H24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E31:F31"/>
    <mergeCell ref="E21:F21"/>
    <mergeCell ref="E22:F22"/>
    <mergeCell ref="E23:F23"/>
    <mergeCell ref="E24:F24"/>
    <mergeCell ref="E25:F25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C15:D15"/>
    <mergeCell ref="C16:D16"/>
    <mergeCell ref="C17:D17"/>
    <mergeCell ref="C18:D18"/>
    <mergeCell ref="C24:D24"/>
    <mergeCell ref="C19:D19"/>
    <mergeCell ref="C20:D20"/>
    <mergeCell ref="C21:D21"/>
    <mergeCell ref="C22:D22"/>
    <mergeCell ref="C23:D23"/>
    <mergeCell ref="C9:D9"/>
    <mergeCell ref="C10:D10"/>
    <mergeCell ref="C11:D11"/>
    <mergeCell ref="C12:D12"/>
    <mergeCell ref="C13:D13"/>
    <mergeCell ref="C14:D14"/>
    <mergeCell ref="B1:H1"/>
    <mergeCell ref="B4:H4"/>
    <mergeCell ref="B2:H2"/>
    <mergeCell ref="B3:H3"/>
    <mergeCell ref="G8:H8"/>
    <mergeCell ref="E8:F8"/>
    <mergeCell ref="C8:D8"/>
  </mergeCells>
  <printOptions horizontalCentered="1"/>
  <pageMargins left="0.7" right="0.7" top="0.75" bottom="0.75" header="0.3" footer="0.3"/>
  <pageSetup paperSize="9" scale="44" orientation="portrait" r:id="rId1"/>
  <headerFooter>
    <oddHeader>&amp;R&amp;"Arial,Bold"&amp;14 QF-LDC-39
page &amp;P of &amp;N</oddHeader>
  </headerFooter>
  <rowBreaks count="1" manualBreakCount="1">
    <brk id="99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31E4-EA4E-4E68-BDA4-12609085B23F}">
  <dimension ref="A1:N50"/>
  <sheetViews>
    <sheetView zoomScaleNormal="100" workbookViewId="0">
      <selection activeCell="F6" sqref="F6:G6"/>
    </sheetView>
  </sheetViews>
  <sheetFormatPr defaultRowHeight="15" x14ac:dyDescent="0.25"/>
  <cols>
    <col min="1" max="1" width="9.140625" style="31"/>
    <col min="2" max="2" width="11" style="31" bestFit="1" customWidth="1"/>
    <col min="3" max="3" width="11.5703125" style="31" bestFit="1" customWidth="1"/>
    <col min="4" max="4" width="11.85546875" style="31" customWidth="1"/>
    <col min="5" max="13" width="9.140625" style="31"/>
    <col min="14" max="14" width="16.140625" style="31" customWidth="1"/>
    <col min="15" max="16384" width="9.140625" style="31"/>
  </cols>
  <sheetData>
    <row r="1" spans="1:14" ht="15.75" customHeight="1" x14ac:dyDescent="0.25">
      <c r="F1" s="281"/>
      <c r="G1" s="281"/>
      <c r="H1" s="282" t="s">
        <v>1178</v>
      </c>
      <c r="I1" s="282"/>
      <c r="J1" s="282"/>
      <c r="K1" s="282"/>
      <c r="L1" s="281"/>
      <c r="M1" s="280" t="s">
        <v>1177</v>
      </c>
      <c r="N1" s="63"/>
    </row>
    <row r="2" spans="1:14" ht="26.25" customHeight="1" x14ac:dyDescent="0.25">
      <c r="A2" s="279" t="s">
        <v>1176</v>
      </c>
      <c r="B2" s="279" t="s">
        <v>15</v>
      </c>
      <c r="C2" s="278"/>
      <c r="D2" s="278"/>
      <c r="F2" s="277" t="s">
        <v>0</v>
      </c>
      <c r="G2" s="63"/>
      <c r="H2" s="63"/>
      <c r="I2" s="63"/>
      <c r="J2" s="63"/>
      <c r="K2" s="63"/>
      <c r="L2" s="63"/>
      <c r="M2" s="63"/>
      <c r="N2" s="63"/>
    </row>
    <row r="3" spans="1:14" ht="20.25" customHeight="1" x14ac:dyDescent="0.25">
      <c r="A3" s="276" t="s">
        <v>1175</v>
      </c>
      <c r="B3" s="275" t="s">
        <v>1174</v>
      </c>
      <c r="C3" s="274" t="s">
        <v>1173</v>
      </c>
      <c r="D3" s="273" t="s">
        <v>1172</v>
      </c>
      <c r="F3" s="272" t="s">
        <v>1</v>
      </c>
      <c r="G3" s="63"/>
      <c r="H3" s="63"/>
      <c r="I3" s="63"/>
      <c r="J3" s="63"/>
      <c r="K3" s="63"/>
      <c r="L3" s="63"/>
      <c r="M3" s="63"/>
      <c r="N3" s="63"/>
    </row>
    <row r="4" spans="1:14" ht="20.25" customHeight="1" x14ac:dyDescent="0.25">
      <c r="A4" s="260" t="s">
        <v>549</v>
      </c>
      <c r="B4" s="259">
        <v>8779.2000000000007</v>
      </c>
      <c r="C4" s="258">
        <v>7584.96</v>
      </c>
      <c r="D4" s="257">
        <v>16364.16</v>
      </c>
      <c r="F4" s="272" t="s">
        <v>1171</v>
      </c>
      <c r="G4" s="63"/>
      <c r="H4" s="63"/>
      <c r="I4" s="63"/>
      <c r="J4" s="63"/>
      <c r="K4" s="63"/>
      <c r="L4" s="63"/>
      <c r="M4" s="63"/>
      <c r="N4" s="63"/>
    </row>
    <row r="5" spans="1:14" ht="15.75" customHeight="1" x14ac:dyDescent="0.25">
      <c r="A5" s="260" t="s">
        <v>1170</v>
      </c>
      <c r="B5" s="262">
        <v>8692.9500000000007</v>
      </c>
      <c r="C5" s="261">
        <v>7535.61</v>
      </c>
      <c r="D5" s="257">
        <v>16228.56</v>
      </c>
      <c r="F5" s="271"/>
      <c r="G5" s="270"/>
      <c r="H5" s="269"/>
      <c r="I5" s="13"/>
      <c r="J5" s="13"/>
      <c r="K5" s="13"/>
      <c r="L5" s="269"/>
      <c r="M5" s="269"/>
      <c r="N5" s="266"/>
    </row>
    <row r="6" spans="1:14" ht="18" customHeight="1" x14ac:dyDescent="0.25">
      <c r="A6" s="260" t="s">
        <v>548</v>
      </c>
      <c r="B6" s="259">
        <v>8606.7000000000007</v>
      </c>
      <c r="C6" s="258">
        <v>7486.26</v>
      </c>
      <c r="D6" s="257">
        <v>16092.96</v>
      </c>
      <c r="F6" s="268" t="s">
        <v>15</v>
      </c>
      <c r="G6" s="63"/>
      <c r="H6" s="267"/>
      <c r="I6" s="267"/>
      <c r="J6" s="267"/>
      <c r="K6" s="267"/>
      <c r="L6" s="267"/>
      <c r="M6" s="266"/>
      <c r="N6" s="266"/>
    </row>
    <row r="7" spans="1:14" x14ac:dyDescent="0.25">
      <c r="A7" s="260" t="s">
        <v>1169</v>
      </c>
      <c r="B7" s="262">
        <v>8495.4500000000007</v>
      </c>
      <c r="C7" s="261">
        <v>7474.7150000000001</v>
      </c>
      <c r="D7" s="257">
        <v>15970.165000000001</v>
      </c>
    </row>
    <row r="8" spans="1:14" x14ac:dyDescent="0.25">
      <c r="A8" s="260" t="s">
        <v>547</v>
      </c>
      <c r="B8" s="259">
        <v>8384.2000000000007</v>
      </c>
      <c r="C8" s="258">
        <v>7463.17</v>
      </c>
      <c r="D8" s="257">
        <v>15847.37</v>
      </c>
    </row>
    <row r="9" spans="1:14" x14ac:dyDescent="0.25">
      <c r="A9" s="260" t="s">
        <v>1168</v>
      </c>
      <c r="B9" s="262">
        <v>8394.2000000000007</v>
      </c>
      <c r="C9" s="261">
        <v>7275.9449999999997</v>
      </c>
      <c r="D9" s="257">
        <v>15670.145</v>
      </c>
    </row>
    <row r="10" spans="1:14" x14ac:dyDescent="0.25">
      <c r="A10" s="260" t="s">
        <v>546</v>
      </c>
      <c r="B10" s="259">
        <v>8404.2000000000007</v>
      </c>
      <c r="C10" s="258">
        <v>7088.72</v>
      </c>
      <c r="D10" s="257">
        <v>15492.92</v>
      </c>
    </row>
    <row r="11" spans="1:14" x14ac:dyDescent="0.25">
      <c r="A11" s="260" t="s">
        <v>1167</v>
      </c>
      <c r="B11" s="262">
        <v>8291.4500000000007</v>
      </c>
      <c r="C11" s="261">
        <v>7007.07</v>
      </c>
      <c r="D11" s="257">
        <v>15298.52</v>
      </c>
    </row>
    <row r="12" spans="1:14" x14ac:dyDescent="0.25">
      <c r="A12" s="260" t="s">
        <v>544</v>
      </c>
      <c r="B12" s="259">
        <v>8178.7</v>
      </c>
      <c r="C12" s="258">
        <v>6925.42</v>
      </c>
      <c r="D12" s="257">
        <v>15104.12</v>
      </c>
    </row>
    <row r="13" spans="1:14" x14ac:dyDescent="0.25">
      <c r="A13" s="260" t="s">
        <v>1166</v>
      </c>
      <c r="B13" s="262">
        <v>8096.2</v>
      </c>
      <c r="C13" s="261">
        <v>6899.09</v>
      </c>
      <c r="D13" s="257">
        <v>14995.29</v>
      </c>
    </row>
    <row r="14" spans="1:14" x14ac:dyDescent="0.25">
      <c r="A14" s="260" t="s">
        <v>543</v>
      </c>
      <c r="B14" s="259">
        <v>8013.7</v>
      </c>
      <c r="C14" s="258">
        <v>6872.76</v>
      </c>
      <c r="D14" s="257">
        <v>14886.46</v>
      </c>
    </row>
    <row r="15" spans="1:14" x14ac:dyDescent="0.25">
      <c r="A15" s="260" t="s">
        <v>1165</v>
      </c>
      <c r="B15" s="262">
        <v>7699.16</v>
      </c>
      <c r="C15" s="261">
        <v>6741.835</v>
      </c>
      <c r="D15" s="257">
        <v>14440.995000000001</v>
      </c>
    </row>
    <row r="16" spans="1:14" x14ac:dyDescent="0.25">
      <c r="A16" s="260" t="s">
        <v>542</v>
      </c>
      <c r="B16" s="259">
        <v>7384.62</v>
      </c>
      <c r="C16" s="258">
        <v>6610.91</v>
      </c>
      <c r="D16" s="257">
        <v>13995.53</v>
      </c>
    </row>
    <row r="17" spans="1:4" x14ac:dyDescent="0.25">
      <c r="A17" s="260" t="s">
        <v>1164</v>
      </c>
      <c r="B17" s="262">
        <v>7178.22</v>
      </c>
      <c r="C17" s="261">
        <v>6689.21</v>
      </c>
      <c r="D17" s="257">
        <v>13867.43</v>
      </c>
    </row>
    <row r="18" spans="1:4" x14ac:dyDescent="0.25">
      <c r="A18" s="260" t="s">
        <v>541</v>
      </c>
      <c r="B18" s="259">
        <v>6971.82</v>
      </c>
      <c r="C18" s="258">
        <v>6767.51</v>
      </c>
      <c r="D18" s="257">
        <v>13739.33</v>
      </c>
    </row>
    <row r="19" spans="1:4" x14ac:dyDescent="0.25">
      <c r="A19" s="260" t="s">
        <v>1163</v>
      </c>
      <c r="B19" s="262">
        <v>6846.7150000000001</v>
      </c>
      <c r="C19" s="261">
        <v>6821.0349999999999</v>
      </c>
      <c r="D19" s="257">
        <v>13667.75</v>
      </c>
    </row>
    <row r="20" spans="1:4" x14ac:dyDescent="0.25">
      <c r="A20" s="260" t="s">
        <v>540</v>
      </c>
      <c r="B20" s="259">
        <v>6721.61</v>
      </c>
      <c r="C20" s="258">
        <v>6874.56</v>
      </c>
      <c r="D20" s="257">
        <v>13596.17</v>
      </c>
    </row>
    <row r="21" spans="1:4" x14ac:dyDescent="0.25">
      <c r="A21" s="260" t="s">
        <v>833</v>
      </c>
      <c r="B21" s="262">
        <v>6803.3149999999996</v>
      </c>
      <c r="C21" s="261">
        <v>6902.2150000000001</v>
      </c>
      <c r="D21" s="257">
        <v>13705.53</v>
      </c>
    </row>
    <row r="22" spans="1:4" x14ac:dyDescent="0.25">
      <c r="A22" s="260" t="s">
        <v>539</v>
      </c>
      <c r="B22" s="259">
        <v>6885.02</v>
      </c>
      <c r="C22" s="258">
        <v>6929.87</v>
      </c>
      <c r="D22" s="257">
        <v>13814.89</v>
      </c>
    </row>
    <row r="23" spans="1:4" x14ac:dyDescent="0.25">
      <c r="A23" s="260" t="s">
        <v>1162</v>
      </c>
      <c r="B23" s="262">
        <v>7004.87</v>
      </c>
      <c r="C23" s="261">
        <v>6882.35</v>
      </c>
      <c r="D23" s="257">
        <v>13887.22</v>
      </c>
    </row>
    <row r="24" spans="1:4" x14ac:dyDescent="0.25">
      <c r="A24" s="260" t="s">
        <v>538</v>
      </c>
      <c r="B24" s="259">
        <v>7124.72</v>
      </c>
      <c r="C24" s="258">
        <v>6834.83</v>
      </c>
      <c r="D24" s="257">
        <v>13959.55</v>
      </c>
    </row>
    <row r="25" spans="1:4" x14ac:dyDescent="0.25">
      <c r="A25" s="260" t="s">
        <v>1161</v>
      </c>
      <c r="B25" s="262">
        <v>7261.6450000000004</v>
      </c>
      <c r="C25" s="261">
        <v>6909.1149999999998</v>
      </c>
      <c r="D25" s="257">
        <v>14170.76</v>
      </c>
    </row>
    <row r="26" spans="1:4" x14ac:dyDescent="0.25">
      <c r="A26" s="260" t="s">
        <v>537</v>
      </c>
      <c r="B26" s="259">
        <v>7398.57</v>
      </c>
      <c r="C26" s="258">
        <v>6983.4</v>
      </c>
      <c r="D26" s="257">
        <v>14381.97</v>
      </c>
    </row>
    <row r="27" spans="1:4" x14ac:dyDescent="0.25">
      <c r="A27" s="260" t="s">
        <v>1160</v>
      </c>
      <c r="B27" s="262">
        <v>7544.3850000000002</v>
      </c>
      <c r="C27" s="261">
        <v>7014.9650000000001</v>
      </c>
      <c r="D27" s="257">
        <v>14559.35</v>
      </c>
    </row>
    <row r="28" spans="1:4" x14ac:dyDescent="0.25">
      <c r="A28" s="260" t="s">
        <v>536</v>
      </c>
      <c r="B28" s="259">
        <v>7690.2</v>
      </c>
      <c r="C28" s="258">
        <v>7046.53</v>
      </c>
      <c r="D28" s="257">
        <v>14736.73</v>
      </c>
    </row>
    <row r="29" spans="1:4" x14ac:dyDescent="0.25">
      <c r="A29" s="260" t="s">
        <v>1159</v>
      </c>
      <c r="B29" s="262">
        <v>7835.8549999999996</v>
      </c>
      <c r="C29" s="261">
        <v>7111.87</v>
      </c>
      <c r="D29" s="257">
        <v>14947.725</v>
      </c>
    </row>
    <row r="30" spans="1:4" x14ac:dyDescent="0.25">
      <c r="A30" s="260" t="s">
        <v>535</v>
      </c>
      <c r="B30" s="259">
        <v>7981.51</v>
      </c>
      <c r="C30" s="258">
        <v>7177.21</v>
      </c>
      <c r="D30" s="257">
        <v>15158.72</v>
      </c>
    </row>
    <row r="31" spans="1:4" x14ac:dyDescent="0.25">
      <c r="A31" s="260" t="s">
        <v>1158</v>
      </c>
      <c r="B31" s="262">
        <v>8048.84</v>
      </c>
      <c r="C31" s="261">
        <v>7308.2950000000001</v>
      </c>
      <c r="D31" s="257">
        <v>15357.135</v>
      </c>
    </row>
    <row r="32" spans="1:4" x14ac:dyDescent="0.25">
      <c r="A32" s="260" t="s">
        <v>534</v>
      </c>
      <c r="B32" s="259">
        <v>8116.17</v>
      </c>
      <c r="C32" s="258">
        <v>7439.38</v>
      </c>
      <c r="D32" s="257">
        <v>15555.55</v>
      </c>
    </row>
    <row r="33" spans="1:14" x14ac:dyDescent="0.25">
      <c r="A33" s="260" t="s">
        <v>1157</v>
      </c>
      <c r="B33" s="262">
        <v>8127.8050000000003</v>
      </c>
      <c r="C33" s="261">
        <v>7371.4350000000004</v>
      </c>
      <c r="D33" s="257">
        <v>15499.24</v>
      </c>
    </row>
    <row r="34" spans="1:14" x14ac:dyDescent="0.25">
      <c r="A34" s="260" t="s">
        <v>533</v>
      </c>
      <c r="B34" s="259">
        <v>8139.44</v>
      </c>
      <c r="C34" s="258">
        <v>7303.49</v>
      </c>
      <c r="D34" s="257">
        <v>15442.93</v>
      </c>
    </row>
    <row r="35" spans="1:14" x14ac:dyDescent="0.25">
      <c r="A35" s="260" t="s">
        <v>774</v>
      </c>
      <c r="B35" s="262">
        <v>8057.02</v>
      </c>
      <c r="C35" s="261">
        <v>7092.5050000000001</v>
      </c>
      <c r="D35" s="257">
        <v>15149.525</v>
      </c>
    </row>
    <row r="36" spans="1:14" x14ac:dyDescent="0.25">
      <c r="A36" s="260" t="s">
        <v>532</v>
      </c>
      <c r="B36" s="259">
        <v>7974.6</v>
      </c>
      <c r="C36" s="258">
        <v>6881.52</v>
      </c>
      <c r="D36" s="257">
        <v>14856.12</v>
      </c>
    </row>
    <row r="37" spans="1:14" x14ac:dyDescent="0.25">
      <c r="A37" s="260" t="s">
        <v>1156</v>
      </c>
      <c r="B37" s="262">
        <v>7805.21</v>
      </c>
      <c r="C37" s="261">
        <v>6595.9049999999997</v>
      </c>
      <c r="D37" s="257">
        <v>14401.115</v>
      </c>
    </row>
    <row r="38" spans="1:14" x14ac:dyDescent="0.25">
      <c r="A38" s="260" t="s">
        <v>531</v>
      </c>
      <c r="B38" s="259">
        <v>7635.82</v>
      </c>
      <c r="C38" s="258">
        <v>6310.29</v>
      </c>
      <c r="D38" s="257">
        <v>13946.11</v>
      </c>
    </row>
    <row r="39" spans="1:14" x14ac:dyDescent="0.25">
      <c r="A39" s="260" t="s">
        <v>754</v>
      </c>
      <c r="B39" s="262">
        <v>7146.3649999999998</v>
      </c>
      <c r="C39" s="261">
        <v>6210.6049999999996</v>
      </c>
      <c r="D39" s="257">
        <v>13356.97</v>
      </c>
    </row>
    <row r="40" spans="1:14" x14ac:dyDescent="0.25">
      <c r="A40" s="260" t="s">
        <v>530</v>
      </c>
      <c r="B40" s="259">
        <v>6656.91</v>
      </c>
      <c r="C40" s="258">
        <v>6110.92</v>
      </c>
      <c r="D40" s="257">
        <v>12767.83</v>
      </c>
    </row>
    <row r="41" spans="1:14" x14ac:dyDescent="0.25">
      <c r="A41" s="260" t="s">
        <v>1010</v>
      </c>
      <c r="B41" s="265">
        <v>7051.4049999999997</v>
      </c>
      <c r="C41" s="264">
        <v>6302.98</v>
      </c>
      <c r="D41" s="257">
        <v>13354.385</v>
      </c>
    </row>
    <row r="42" spans="1:14" x14ac:dyDescent="0.25">
      <c r="A42" s="260" t="s">
        <v>529</v>
      </c>
      <c r="B42" s="259">
        <v>7445.9</v>
      </c>
      <c r="C42" s="258">
        <v>6495.04</v>
      </c>
      <c r="D42" s="257">
        <v>13940.94</v>
      </c>
    </row>
    <row r="43" spans="1:14" x14ac:dyDescent="0.25">
      <c r="A43" s="260" t="s">
        <v>528</v>
      </c>
      <c r="B43" s="259">
        <v>7824.7</v>
      </c>
      <c r="C43" s="258">
        <v>7114.03</v>
      </c>
      <c r="D43" s="257">
        <v>14938.73</v>
      </c>
    </row>
    <row r="44" spans="1:14" x14ac:dyDescent="0.25">
      <c r="A44" s="260" t="s">
        <v>527</v>
      </c>
      <c r="B44" s="259">
        <v>7931.7</v>
      </c>
      <c r="C44" s="258">
        <v>6973.02</v>
      </c>
      <c r="D44" s="257">
        <v>14904.72</v>
      </c>
    </row>
    <row r="45" spans="1:14" ht="15.75" customHeight="1" x14ac:dyDescent="0.25">
      <c r="A45" s="260" t="s">
        <v>1155</v>
      </c>
      <c r="B45" s="262">
        <v>7902.1</v>
      </c>
      <c r="C45" s="261">
        <v>7072.51</v>
      </c>
      <c r="D45" s="257">
        <v>14974.61</v>
      </c>
      <c r="J45" s="263" t="s">
        <v>1154</v>
      </c>
      <c r="K45" s="63"/>
      <c r="L45" s="63"/>
      <c r="M45" s="63"/>
      <c r="N45" s="63"/>
    </row>
    <row r="46" spans="1:14" ht="15.75" customHeight="1" x14ac:dyDescent="0.25">
      <c r="A46" s="260" t="s">
        <v>526</v>
      </c>
      <c r="B46" s="259">
        <v>7872.5</v>
      </c>
      <c r="C46" s="258">
        <v>7172</v>
      </c>
      <c r="D46" s="257">
        <v>15044.5</v>
      </c>
      <c r="J46" s="263" t="s">
        <v>522</v>
      </c>
      <c r="K46" s="63"/>
      <c r="L46" s="63"/>
      <c r="M46" s="63"/>
      <c r="N46" s="63"/>
    </row>
    <row r="47" spans="1:14" x14ac:dyDescent="0.25">
      <c r="A47" s="260" t="s">
        <v>1153</v>
      </c>
      <c r="B47" s="262">
        <v>7942.25</v>
      </c>
      <c r="C47" s="261">
        <v>7111.5</v>
      </c>
      <c r="D47" s="257">
        <v>15053.75</v>
      </c>
    </row>
    <row r="48" spans="1:14" x14ac:dyDescent="0.25">
      <c r="A48" s="260" t="s">
        <v>525</v>
      </c>
      <c r="B48" s="259">
        <v>8012</v>
      </c>
      <c r="C48" s="258">
        <v>7051</v>
      </c>
      <c r="D48" s="257">
        <v>15063</v>
      </c>
    </row>
    <row r="49" spans="1:4" x14ac:dyDescent="0.25">
      <c r="A49" s="260" t="s">
        <v>1152</v>
      </c>
      <c r="B49" s="262">
        <v>8133.25</v>
      </c>
      <c r="C49" s="261">
        <v>7009.5</v>
      </c>
      <c r="D49" s="257">
        <v>15142.75</v>
      </c>
    </row>
    <row r="50" spans="1:4" x14ac:dyDescent="0.25">
      <c r="A50" s="260" t="s">
        <v>524</v>
      </c>
      <c r="B50" s="259">
        <v>8254.5</v>
      </c>
      <c r="C50" s="258">
        <v>6968</v>
      </c>
      <c r="D50" s="257">
        <v>15222.5</v>
      </c>
    </row>
  </sheetData>
  <mergeCells count="7">
    <mergeCell ref="J46:N46"/>
    <mergeCell ref="J45:N45"/>
    <mergeCell ref="M1:N1"/>
    <mergeCell ref="F2:N2"/>
    <mergeCell ref="F3:N3"/>
    <mergeCell ref="F4:N4"/>
    <mergeCell ref="F6:G6"/>
  </mergeCells>
  <pageMargins left="0.7" right="0.7" top="0.75" bottom="0.2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47BD-6ED0-4EDF-9062-BF976FE8B5EF}">
  <dimension ref="A1:Z52"/>
  <sheetViews>
    <sheetView topLeftCell="H1" zoomScaleNormal="100" workbookViewId="0">
      <selection activeCell="AC23" sqref="AC23"/>
    </sheetView>
  </sheetViews>
  <sheetFormatPr defaultRowHeight="15" x14ac:dyDescent="0.25"/>
  <cols>
    <col min="1" max="1" width="9.140625" style="31"/>
    <col min="2" max="16" width="10.7109375" style="31" customWidth="1"/>
    <col min="17" max="17" width="9.140625" style="31"/>
    <col min="18" max="18" width="19.140625" style="31" customWidth="1"/>
    <col min="19" max="19" width="10.85546875" style="31" customWidth="1"/>
    <col min="20" max="20" width="10.7109375" style="31" customWidth="1"/>
    <col min="21" max="23" width="9.140625" style="31"/>
    <col min="24" max="25" width="10.85546875" style="31" customWidth="1"/>
    <col min="26" max="26" width="15.7109375" style="31" customWidth="1"/>
    <col min="27" max="16384" width="9.140625" style="31"/>
  </cols>
  <sheetData>
    <row r="1" spans="1:26" ht="15.75" customHeight="1" x14ac:dyDescent="0.25">
      <c r="R1" s="281"/>
      <c r="S1" s="281"/>
      <c r="T1" s="282" t="s">
        <v>1178</v>
      </c>
      <c r="U1" s="282"/>
      <c r="V1" s="282"/>
      <c r="W1" s="282"/>
      <c r="X1" s="281"/>
      <c r="Y1" s="280" t="s">
        <v>1194</v>
      </c>
      <c r="Z1" s="63"/>
    </row>
    <row r="2" spans="1:26" ht="26.25" customHeight="1" x14ac:dyDescent="0.25">
      <c r="A2" s="279" t="s">
        <v>1176</v>
      </c>
      <c r="B2" s="279" t="s">
        <v>15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R2" s="277" t="s">
        <v>0</v>
      </c>
      <c r="S2" s="63"/>
      <c r="T2" s="63"/>
      <c r="U2" s="63"/>
      <c r="V2" s="63"/>
      <c r="W2" s="63"/>
      <c r="X2" s="63"/>
      <c r="Y2" s="63"/>
      <c r="Z2" s="63"/>
    </row>
    <row r="3" spans="1:26" ht="20.25" customHeight="1" x14ac:dyDescent="0.25">
      <c r="A3" s="276" t="s">
        <v>1175</v>
      </c>
      <c r="B3" s="291" t="s">
        <v>1193</v>
      </c>
      <c r="C3" s="291" t="s">
        <v>1192</v>
      </c>
      <c r="D3" s="291" t="s">
        <v>1191</v>
      </c>
      <c r="E3" s="291" t="s">
        <v>1190</v>
      </c>
      <c r="F3" s="291" t="s">
        <v>1189</v>
      </c>
      <c r="G3" s="291" t="s">
        <v>1188</v>
      </c>
      <c r="H3" s="291" t="s">
        <v>161</v>
      </c>
      <c r="I3" s="291" t="s">
        <v>209</v>
      </c>
      <c r="J3" s="291" t="s">
        <v>134</v>
      </c>
      <c r="K3" s="291" t="s">
        <v>1187</v>
      </c>
      <c r="L3" s="291" t="s">
        <v>1186</v>
      </c>
      <c r="M3" s="291" t="s">
        <v>1185</v>
      </c>
      <c r="N3" s="291" t="s">
        <v>1184</v>
      </c>
      <c r="O3" s="291" t="s">
        <v>213</v>
      </c>
      <c r="P3" s="291" t="s">
        <v>1183</v>
      </c>
      <c r="R3" s="272" t="s">
        <v>1</v>
      </c>
      <c r="S3" s="63"/>
      <c r="T3" s="63"/>
      <c r="U3" s="63"/>
      <c r="V3" s="63"/>
      <c r="W3" s="63"/>
      <c r="X3" s="63"/>
      <c r="Y3" s="63"/>
      <c r="Z3" s="63"/>
    </row>
    <row r="4" spans="1:26" ht="20.25" customHeight="1" x14ac:dyDescent="0.25">
      <c r="A4" s="260" t="s">
        <v>549</v>
      </c>
      <c r="B4" s="283">
        <v>3250</v>
      </c>
      <c r="C4" s="283">
        <v>2286</v>
      </c>
      <c r="D4" s="283">
        <v>780</v>
      </c>
      <c r="E4" s="283">
        <v>0</v>
      </c>
      <c r="F4" s="283">
        <v>52</v>
      </c>
      <c r="G4" s="283">
        <v>1363.96</v>
      </c>
      <c r="H4" s="283">
        <v>40</v>
      </c>
      <c r="I4" s="283">
        <v>5024</v>
      </c>
      <c r="J4" s="283">
        <v>0</v>
      </c>
      <c r="K4" s="283">
        <v>808</v>
      </c>
      <c r="L4" s="283">
        <v>2760.2</v>
      </c>
      <c r="M4" s="283">
        <v>0</v>
      </c>
      <c r="N4" s="283">
        <v>0</v>
      </c>
      <c r="O4" s="283">
        <v>0</v>
      </c>
      <c r="P4" s="283">
        <v>312</v>
      </c>
      <c r="R4" s="272" t="s">
        <v>1182</v>
      </c>
      <c r="S4" s="63"/>
      <c r="T4" s="63"/>
      <c r="U4" s="63"/>
      <c r="V4" s="63"/>
      <c r="W4" s="63"/>
      <c r="X4" s="63"/>
      <c r="Y4" s="63"/>
      <c r="Z4" s="63"/>
    </row>
    <row r="5" spans="1:26" ht="15.75" customHeight="1" x14ac:dyDescent="0.25">
      <c r="A5" s="260" t="s">
        <v>1170</v>
      </c>
      <c r="B5" s="284">
        <v>3173.5</v>
      </c>
      <c r="C5" s="284">
        <v>2301</v>
      </c>
      <c r="D5" s="284">
        <v>850.5</v>
      </c>
      <c r="E5" s="284">
        <v>0</v>
      </c>
      <c r="F5" s="284">
        <v>52</v>
      </c>
      <c r="G5" s="284">
        <v>1358.61</v>
      </c>
      <c r="H5" s="284">
        <v>40</v>
      </c>
      <c r="I5" s="284">
        <v>5014.5</v>
      </c>
      <c r="J5" s="284">
        <v>0</v>
      </c>
      <c r="K5" s="284">
        <v>738.5</v>
      </c>
      <c r="L5" s="284">
        <v>2699.95</v>
      </c>
      <c r="M5" s="284">
        <v>0</v>
      </c>
      <c r="N5" s="284">
        <v>0</v>
      </c>
      <c r="O5" s="284">
        <v>0</v>
      </c>
      <c r="P5" s="284">
        <v>374.5</v>
      </c>
      <c r="R5" s="268" t="s">
        <v>15</v>
      </c>
      <c r="S5" s="63"/>
      <c r="T5" s="269"/>
      <c r="U5" s="13"/>
      <c r="V5" s="13"/>
      <c r="W5" s="13"/>
      <c r="X5" s="269"/>
      <c r="Y5" s="269"/>
      <c r="Z5" s="266"/>
    </row>
    <row r="6" spans="1:26" ht="18" customHeight="1" x14ac:dyDescent="0.25">
      <c r="A6" s="260" t="s">
        <v>548</v>
      </c>
      <c r="B6" s="283">
        <v>3097</v>
      </c>
      <c r="C6" s="283">
        <v>2316</v>
      </c>
      <c r="D6" s="283">
        <v>921</v>
      </c>
      <c r="E6" s="283">
        <v>0</v>
      </c>
      <c r="F6" s="283">
        <v>52</v>
      </c>
      <c r="G6" s="283">
        <v>1353.26</v>
      </c>
      <c r="H6" s="283">
        <v>40</v>
      </c>
      <c r="I6" s="283">
        <v>5005</v>
      </c>
      <c r="J6" s="283">
        <v>0</v>
      </c>
      <c r="K6" s="283">
        <v>669</v>
      </c>
      <c r="L6" s="283">
        <v>2639.7</v>
      </c>
      <c r="M6" s="283">
        <v>0</v>
      </c>
      <c r="N6" s="283">
        <v>0</v>
      </c>
      <c r="O6" s="283">
        <v>0</v>
      </c>
      <c r="P6" s="283">
        <v>437</v>
      </c>
      <c r="T6" s="267"/>
      <c r="U6" s="267"/>
      <c r="V6" s="267"/>
      <c r="W6" s="267"/>
      <c r="X6" s="267"/>
      <c r="Y6" s="266"/>
      <c r="Z6" s="266"/>
    </row>
    <row r="7" spans="1:26" ht="15.75" customHeight="1" x14ac:dyDescent="0.25">
      <c r="A7" s="260" t="s">
        <v>1169</v>
      </c>
      <c r="B7" s="284">
        <v>3140</v>
      </c>
      <c r="C7" s="284">
        <v>2313.25</v>
      </c>
      <c r="D7" s="284">
        <v>922</v>
      </c>
      <c r="E7" s="284">
        <v>0</v>
      </c>
      <c r="F7" s="284">
        <v>51</v>
      </c>
      <c r="G7" s="284">
        <v>1357.7149999999999</v>
      </c>
      <c r="H7" s="284">
        <v>40</v>
      </c>
      <c r="I7" s="284">
        <v>4979</v>
      </c>
      <c r="J7" s="284">
        <v>0</v>
      </c>
      <c r="K7" s="284">
        <v>554</v>
      </c>
      <c r="L7" s="284">
        <v>2613.1999999999998</v>
      </c>
      <c r="M7" s="284">
        <v>0</v>
      </c>
      <c r="N7" s="284">
        <v>0</v>
      </c>
      <c r="O7" s="284">
        <v>0</v>
      </c>
      <c r="P7" s="284">
        <v>435.5</v>
      </c>
      <c r="R7" s="290" t="s">
        <v>906</v>
      </c>
      <c r="S7" s="288"/>
      <c r="T7" s="286"/>
      <c r="U7" s="289">
        <v>357.75556990000001</v>
      </c>
      <c r="V7" s="288"/>
      <c r="W7" s="286"/>
      <c r="X7" s="287" t="s">
        <v>1179</v>
      </c>
      <c r="Y7" s="286"/>
    </row>
    <row r="8" spans="1:26" ht="15.75" customHeight="1" x14ac:dyDescent="0.25">
      <c r="A8" s="260" t="s">
        <v>547</v>
      </c>
      <c r="B8" s="283">
        <v>3183</v>
      </c>
      <c r="C8" s="283">
        <v>2310.5</v>
      </c>
      <c r="D8" s="283">
        <v>923</v>
      </c>
      <c r="E8" s="283">
        <v>0</v>
      </c>
      <c r="F8" s="283">
        <v>50</v>
      </c>
      <c r="G8" s="283">
        <v>1362.17</v>
      </c>
      <c r="H8" s="283">
        <v>40</v>
      </c>
      <c r="I8" s="283">
        <v>4953</v>
      </c>
      <c r="J8" s="283">
        <v>0</v>
      </c>
      <c r="K8" s="283">
        <v>439</v>
      </c>
      <c r="L8" s="283">
        <v>2586.6999999999998</v>
      </c>
      <c r="M8" s="283">
        <v>0</v>
      </c>
      <c r="N8" s="283">
        <v>0</v>
      </c>
      <c r="O8" s="283">
        <v>0</v>
      </c>
      <c r="P8" s="283">
        <v>434</v>
      </c>
      <c r="R8" s="290" t="s">
        <v>1181</v>
      </c>
      <c r="S8" s="288"/>
      <c r="T8" s="286"/>
      <c r="U8" s="289">
        <v>4.7990000000000004</v>
      </c>
      <c r="V8" s="288"/>
      <c r="W8" s="286"/>
      <c r="X8" s="287" t="s">
        <v>1179</v>
      </c>
      <c r="Y8" s="286"/>
    </row>
    <row r="9" spans="1:26" ht="15.75" customHeight="1" x14ac:dyDescent="0.25">
      <c r="A9" s="260" t="s">
        <v>1168</v>
      </c>
      <c r="B9" s="284">
        <v>3142</v>
      </c>
      <c r="C9" s="284">
        <v>2315.5</v>
      </c>
      <c r="D9" s="284">
        <v>923</v>
      </c>
      <c r="E9" s="284">
        <v>0</v>
      </c>
      <c r="F9" s="284">
        <v>49</v>
      </c>
      <c r="G9" s="284">
        <v>1360.4449999999999</v>
      </c>
      <c r="H9" s="284">
        <v>40</v>
      </c>
      <c r="I9" s="284">
        <v>4771</v>
      </c>
      <c r="J9" s="284">
        <v>0</v>
      </c>
      <c r="K9" s="284">
        <v>428</v>
      </c>
      <c r="L9" s="284">
        <v>2641.2</v>
      </c>
      <c r="M9" s="284">
        <v>0</v>
      </c>
      <c r="N9" s="284">
        <v>0</v>
      </c>
      <c r="O9" s="284">
        <v>0</v>
      </c>
      <c r="P9" s="284">
        <v>388.5</v>
      </c>
      <c r="R9" s="290" t="s">
        <v>1180</v>
      </c>
      <c r="S9" s="288"/>
      <c r="T9" s="286"/>
      <c r="U9" s="289">
        <v>362.55456989999999</v>
      </c>
      <c r="V9" s="288"/>
      <c r="W9" s="286"/>
      <c r="X9" s="287" t="s">
        <v>1179</v>
      </c>
      <c r="Y9" s="286"/>
    </row>
    <row r="10" spans="1:26" x14ac:dyDescent="0.25">
      <c r="A10" s="260" t="s">
        <v>546</v>
      </c>
      <c r="B10" s="283">
        <v>3101</v>
      </c>
      <c r="C10" s="283">
        <v>2320.5</v>
      </c>
      <c r="D10" s="283">
        <v>923</v>
      </c>
      <c r="E10" s="283">
        <v>0</v>
      </c>
      <c r="F10" s="283">
        <v>48</v>
      </c>
      <c r="G10" s="283">
        <v>1358.72</v>
      </c>
      <c r="H10" s="283">
        <v>40</v>
      </c>
      <c r="I10" s="283">
        <v>4589</v>
      </c>
      <c r="J10" s="283">
        <v>0</v>
      </c>
      <c r="K10" s="283">
        <v>417</v>
      </c>
      <c r="L10" s="283">
        <v>2695.7</v>
      </c>
      <c r="M10" s="283">
        <v>0</v>
      </c>
      <c r="N10" s="283">
        <v>0</v>
      </c>
      <c r="O10" s="283">
        <v>0</v>
      </c>
      <c r="P10" s="283">
        <v>343</v>
      </c>
    </row>
    <row r="11" spans="1:26" x14ac:dyDescent="0.25">
      <c r="A11" s="260" t="s">
        <v>1167</v>
      </c>
      <c r="B11" s="284">
        <v>3096.5</v>
      </c>
      <c r="C11" s="284">
        <v>2323</v>
      </c>
      <c r="D11" s="284">
        <v>922.5</v>
      </c>
      <c r="E11" s="284">
        <v>0</v>
      </c>
      <c r="F11" s="284">
        <v>48</v>
      </c>
      <c r="G11" s="284">
        <v>1359.07</v>
      </c>
      <c r="H11" s="284">
        <v>40</v>
      </c>
      <c r="I11" s="284">
        <v>4587</v>
      </c>
      <c r="J11" s="284">
        <v>0</v>
      </c>
      <c r="K11" s="284">
        <v>377</v>
      </c>
      <c r="L11" s="284">
        <v>2545.4499999999998</v>
      </c>
      <c r="M11" s="284">
        <v>0</v>
      </c>
      <c r="N11" s="284">
        <v>0</v>
      </c>
      <c r="O11" s="284">
        <v>0</v>
      </c>
      <c r="P11" s="284">
        <v>337</v>
      </c>
    </row>
    <row r="12" spans="1:26" x14ac:dyDescent="0.25">
      <c r="A12" s="260" t="s">
        <v>544</v>
      </c>
      <c r="B12" s="283">
        <v>3092</v>
      </c>
      <c r="C12" s="283">
        <v>2325.5</v>
      </c>
      <c r="D12" s="283">
        <v>922</v>
      </c>
      <c r="E12" s="283">
        <v>0</v>
      </c>
      <c r="F12" s="283">
        <v>48</v>
      </c>
      <c r="G12" s="283">
        <v>1359.42</v>
      </c>
      <c r="H12" s="283">
        <v>40</v>
      </c>
      <c r="I12" s="283">
        <v>4585</v>
      </c>
      <c r="J12" s="283">
        <v>0</v>
      </c>
      <c r="K12" s="283">
        <v>337</v>
      </c>
      <c r="L12" s="283">
        <v>2395.1999999999998</v>
      </c>
      <c r="M12" s="283">
        <v>0</v>
      </c>
      <c r="N12" s="283">
        <v>0</v>
      </c>
      <c r="O12" s="283">
        <v>0</v>
      </c>
      <c r="P12" s="283">
        <v>331</v>
      </c>
    </row>
    <row r="13" spans="1:26" x14ac:dyDescent="0.25">
      <c r="A13" s="260" t="s">
        <v>1166</v>
      </c>
      <c r="B13" s="284">
        <v>3199.5</v>
      </c>
      <c r="C13" s="284">
        <v>2311</v>
      </c>
      <c r="D13" s="284">
        <v>922</v>
      </c>
      <c r="E13" s="284">
        <v>0</v>
      </c>
      <c r="F13" s="284">
        <v>46</v>
      </c>
      <c r="G13" s="284">
        <v>1361.09</v>
      </c>
      <c r="H13" s="284">
        <v>40</v>
      </c>
      <c r="I13" s="284">
        <v>4584.5</v>
      </c>
      <c r="J13" s="284">
        <v>0</v>
      </c>
      <c r="K13" s="284">
        <v>344.5</v>
      </c>
      <c r="L13" s="284">
        <v>2186.6999999999998</v>
      </c>
      <c r="M13" s="284">
        <v>0</v>
      </c>
      <c r="N13" s="284">
        <v>0</v>
      </c>
      <c r="O13" s="284">
        <v>0</v>
      </c>
      <c r="P13" s="284">
        <v>316</v>
      </c>
    </row>
    <row r="14" spans="1:26" x14ac:dyDescent="0.25">
      <c r="A14" s="260" t="s">
        <v>543</v>
      </c>
      <c r="B14" s="283">
        <v>3307</v>
      </c>
      <c r="C14" s="283">
        <v>2296.5</v>
      </c>
      <c r="D14" s="283">
        <v>922</v>
      </c>
      <c r="E14" s="283">
        <v>0</v>
      </c>
      <c r="F14" s="283">
        <v>44</v>
      </c>
      <c r="G14" s="283">
        <v>1362.76</v>
      </c>
      <c r="H14" s="283">
        <v>40</v>
      </c>
      <c r="I14" s="283">
        <v>4584</v>
      </c>
      <c r="J14" s="283">
        <v>0</v>
      </c>
      <c r="K14" s="283">
        <v>352</v>
      </c>
      <c r="L14" s="283">
        <v>1978.2</v>
      </c>
      <c r="M14" s="283">
        <v>0</v>
      </c>
      <c r="N14" s="283">
        <v>0</v>
      </c>
      <c r="O14" s="283">
        <v>0</v>
      </c>
      <c r="P14" s="283">
        <v>301</v>
      </c>
    </row>
    <row r="15" spans="1:26" x14ac:dyDescent="0.25">
      <c r="A15" s="260" t="s">
        <v>1165</v>
      </c>
      <c r="B15" s="284">
        <v>3271</v>
      </c>
      <c r="C15" s="284">
        <v>2237.25</v>
      </c>
      <c r="D15" s="284">
        <v>922</v>
      </c>
      <c r="E15" s="284">
        <v>0</v>
      </c>
      <c r="F15" s="284">
        <v>43</v>
      </c>
      <c r="G15" s="284">
        <v>1370.92</v>
      </c>
      <c r="H15" s="284">
        <v>40</v>
      </c>
      <c r="I15" s="284">
        <v>4598</v>
      </c>
      <c r="J15" s="284">
        <v>15.225</v>
      </c>
      <c r="K15" s="284">
        <v>294.5</v>
      </c>
      <c r="L15" s="284">
        <v>1649.1</v>
      </c>
      <c r="M15" s="284">
        <v>0</v>
      </c>
      <c r="N15" s="284">
        <v>0</v>
      </c>
      <c r="O15" s="284">
        <v>0</v>
      </c>
      <c r="P15" s="284">
        <v>297</v>
      </c>
    </row>
    <row r="16" spans="1:26" x14ac:dyDescent="0.25">
      <c r="A16" s="260" t="s">
        <v>542</v>
      </c>
      <c r="B16" s="283">
        <v>3235</v>
      </c>
      <c r="C16" s="283">
        <v>2178</v>
      </c>
      <c r="D16" s="283">
        <v>922</v>
      </c>
      <c r="E16" s="283">
        <v>0</v>
      </c>
      <c r="F16" s="283">
        <v>42</v>
      </c>
      <c r="G16" s="283">
        <v>1379.08</v>
      </c>
      <c r="H16" s="283">
        <v>40</v>
      </c>
      <c r="I16" s="283">
        <v>4612</v>
      </c>
      <c r="J16" s="283">
        <v>30.45</v>
      </c>
      <c r="K16" s="283">
        <v>237</v>
      </c>
      <c r="L16" s="283">
        <v>1320</v>
      </c>
      <c r="M16" s="283">
        <v>0</v>
      </c>
      <c r="N16" s="283">
        <v>0</v>
      </c>
      <c r="O16" s="283">
        <v>0</v>
      </c>
      <c r="P16" s="283">
        <v>293</v>
      </c>
    </row>
    <row r="17" spans="1:16" x14ac:dyDescent="0.25">
      <c r="A17" s="260" t="s">
        <v>1164</v>
      </c>
      <c r="B17" s="284">
        <v>3246</v>
      </c>
      <c r="C17" s="284">
        <v>2219</v>
      </c>
      <c r="D17" s="284">
        <v>922</v>
      </c>
      <c r="E17" s="284">
        <v>0</v>
      </c>
      <c r="F17" s="284">
        <v>41</v>
      </c>
      <c r="G17" s="284">
        <v>1381.675</v>
      </c>
      <c r="H17" s="284">
        <v>40</v>
      </c>
      <c r="I17" s="284">
        <v>4629.5</v>
      </c>
      <c r="J17" s="284">
        <v>86.754999999999995</v>
      </c>
      <c r="K17" s="284">
        <v>225.5</v>
      </c>
      <c r="L17" s="284">
        <v>1076</v>
      </c>
      <c r="M17" s="284">
        <v>0</v>
      </c>
      <c r="N17" s="284">
        <v>0</v>
      </c>
      <c r="O17" s="284">
        <v>0</v>
      </c>
      <c r="P17" s="284">
        <v>272.5</v>
      </c>
    </row>
    <row r="18" spans="1:16" x14ac:dyDescent="0.25">
      <c r="A18" s="260" t="s">
        <v>541</v>
      </c>
      <c r="B18" s="283">
        <v>3257</v>
      </c>
      <c r="C18" s="283">
        <v>2260</v>
      </c>
      <c r="D18" s="283">
        <v>922</v>
      </c>
      <c r="E18" s="283">
        <v>0</v>
      </c>
      <c r="F18" s="283">
        <v>40</v>
      </c>
      <c r="G18" s="283">
        <v>1384.27</v>
      </c>
      <c r="H18" s="283">
        <v>40</v>
      </c>
      <c r="I18" s="283">
        <v>4647</v>
      </c>
      <c r="J18" s="283">
        <v>143.06</v>
      </c>
      <c r="K18" s="283">
        <v>214</v>
      </c>
      <c r="L18" s="283">
        <v>832</v>
      </c>
      <c r="M18" s="283">
        <v>0</v>
      </c>
      <c r="N18" s="283">
        <v>0</v>
      </c>
      <c r="O18" s="283">
        <v>0</v>
      </c>
      <c r="P18" s="283">
        <v>252</v>
      </c>
    </row>
    <row r="19" spans="1:16" x14ac:dyDescent="0.25">
      <c r="A19" s="260" t="s">
        <v>1163</v>
      </c>
      <c r="B19" s="284">
        <v>3322</v>
      </c>
      <c r="C19" s="284">
        <v>2164</v>
      </c>
      <c r="D19" s="284">
        <v>899</v>
      </c>
      <c r="E19" s="284">
        <v>0</v>
      </c>
      <c r="F19" s="284">
        <v>39</v>
      </c>
      <c r="G19" s="284">
        <v>1354.9649999999999</v>
      </c>
      <c r="H19" s="284">
        <v>40</v>
      </c>
      <c r="I19" s="284">
        <v>4612.5</v>
      </c>
      <c r="J19" s="284">
        <v>218.285</v>
      </c>
      <c r="K19" s="284">
        <v>214</v>
      </c>
      <c r="L19" s="284">
        <v>804</v>
      </c>
      <c r="M19" s="284">
        <v>0</v>
      </c>
      <c r="N19" s="284">
        <v>0</v>
      </c>
      <c r="O19" s="284">
        <v>0</v>
      </c>
      <c r="P19" s="284">
        <v>248.5</v>
      </c>
    </row>
    <row r="20" spans="1:16" x14ac:dyDescent="0.25">
      <c r="A20" s="260" t="s">
        <v>540</v>
      </c>
      <c r="B20" s="283">
        <v>3387</v>
      </c>
      <c r="C20" s="283">
        <v>2068</v>
      </c>
      <c r="D20" s="283">
        <v>876</v>
      </c>
      <c r="E20" s="283">
        <v>0</v>
      </c>
      <c r="F20" s="283">
        <v>38</v>
      </c>
      <c r="G20" s="283">
        <v>1325.66</v>
      </c>
      <c r="H20" s="283">
        <v>40</v>
      </c>
      <c r="I20" s="283">
        <v>4578</v>
      </c>
      <c r="J20" s="283">
        <v>293.51</v>
      </c>
      <c r="K20" s="283">
        <v>214</v>
      </c>
      <c r="L20" s="283">
        <v>776</v>
      </c>
      <c r="M20" s="283">
        <v>0</v>
      </c>
      <c r="N20" s="283">
        <v>0</v>
      </c>
      <c r="O20" s="283">
        <v>0</v>
      </c>
      <c r="P20" s="283">
        <v>245</v>
      </c>
    </row>
    <row r="21" spans="1:16" x14ac:dyDescent="0.25">
      <c r="A21" s="260" t="s">
        <v>833</v>
      </c>
      <c r="B21" s="284">
        <v>3390</v>
      </c>
      <c r="C21" s="284">
        <v>2070.5</v>
      </c>
      <c r="D21" s="284">
        <v>876</v>
      </c>
      <c r="E21" s="284">
        <v>0</v>
      </c>
      <c r="F21" s="284">
        <v>33</v>
      </c>
      <c r="G21" s="284">
        <v>1321.135</v>
      </c>
      <c r="H21" s="284">
        <v>40</v>
      </c>
      <c r="I21" s="284">
        <v>4555</v>
      </c>
      <c r="J21" s="284">
        <v>367.29500000000002</v>
      </c>
      <c r="K21" s="284">
        <v>222</v>
      </c>
      <c r="L21" s="284">
        <v>830.6</v>
      </c>
      <c r="M21" s="284">
        <v>0</v>
      </c>
      <c r="N21" s="284">
        <v>0</v>
      </c>
      <c r="O21" s="284">
        <v>0</v>
      </c>
      <c r="P21" s="284">
        <v>213</v>
      </c>
    </row>
    <row r="22" spans="1:16" x14ac:dyDescent="0.25">
      <c r="A22" s="260" t="s">
        <v>539</v>
      </c>
      <c r="B22" s="283">
        <v>3393</v>
      </c>
      <c r="C22" s="283">
        <v>2073</v>
      </c>
      <c r="D22" s="283">
        <v>876</v>
      </c>
      <c r="E22" s="283">
        <v>0</v>
      </c>
      <c r="F22" s="283">
        <v>28</v>
      </c>
      <c r="G22" s="283">
        <v>1316.61</v>
      </c>
      <c r="H22" s="283">
        <v>40</v>
      </c>
      <c r="I22" s="283">
        <v>4532</v>
      </c>
      <c r="J22" s="283">
        <v>441.08</v>
      </c>
      <c r="K22" s="283">
        <v>230</v>
      </c>
      <c r="L22" s="283">
        <v>885.2</v>
      </c>
      <c r="M22" s="283">
        <v>0</v>
      </c>
      <c r="N22" s="283">
        <v>0</v>
      </c>
      <c r="O22" s="283">
        <v>0</v>
      </c>
      <c r="P22" s="283">
        <v>181</v>
      </c>
    </row>
    <row r="23" spans="1:16" x14ac:dyDescent="0.25">
      <c r="A23" s="260" t="s">
        <v>1162</v>
      </c>
      <c r="B23" s="284">
        <v>3379.5</v>
      </c>
      <c r="C23" s="284">
        <v>2071</v>
      </c>
      <c r="D23" s="284">
        <v>899.5</v>
      </c>
      <c r="E23" s="284">
        <v>0</v>
      </c>
      <c r="F23" s="284">
        <v>31</v>
      </c>
      <c r="G23" s="284">
        <v>1285.26</v>
      </c>
      <c r="H23" s="284">
        <v>40</v>
      </c>
      <c r="I23" s="284">
        <v>4465.5</v>
      </c>
      <c r="J23" s="284">
        <v>494.26</v>
      </c>
      <c r="K23" s="284">
        <v>229</v>
      </c>
      <c r="L23" s="284">
        <v>992.2</v>
      </c>
      <c r="M23" s="284">
        <v>0</v>
      </c>
      <c r="N23" s="284">
        <v>0</v>
      </c>
      <c r="O23" s="284">
        <v>0</v>
      </c>
      <c r="P23" s="284">
        <v>169.5</v>
      </c>
    </row>
    <row r="24" spans="1:16" x14ac:dyDescent="0.25">
      <c r="A24" s="260" t="s">
        <v>538</v>
      </c>
      <c r="B24" s="283">
        <v>3366</v>
      </c>
      <c r="C24" s="283">
        <v>2069</v>
      </c>
      <c r="D24" s="283">
        <v>923</v>
      </c>
      <c r="E24" s="283">
        <v>0</v>
      </c>
      <c r="F24" s="283">
        <v>34</v>
      </c>
      <c r="G24" s="283">
        <v>1253.9100000000001</v>
      </c>
      <c r="H24" s="283">
        <v>40</v>
      </c>
      <c r="I24" s="283">
        <v>4399</v>
      </c>
      <c r="J24" s="283">
        <v>547.44000000000005</v>
      </c>
      <c r="K24" s="283">
        <v>228</v>
      </c>
      <c r="L24" s="283">
        <v>1099.2</v>
      </c>
      <c r="M24" s="283">
        <v>0</v>
      </c>
      <c r="N24" s="283">
        <v>0</v>
      </c>
      <c r="O24" s="283">
        <v>0</v>
      </c>
      <c r="P24" s="283">
        <v>158</v>
      </c>
    </row>
    <row r="25" spans="1:16" x14ac:dyDescent="0.25">
      <c r="A25" s="260" t="s">
        <v>1161</v>
      </c>
      <c r="B25" s="284">
        <v>3369.5</v>
      </c>
      <c r="C25" s="284">
        <v>2096</v>
      </c>
      <c r="D25" s="284">
        <v>923</v>
      </c>
      <c r="E25" s="284">
        <v>0</v>
      </c>
      <c r="F25" s="284">
        <v>33</v>
      </c>
      <c r="G25" s="284">
        <v>1260.23</v>
      </c>
      <c r="H25" s="284">
        <v>40</v>
      </c>
      <c r="I25" s="284">
        <v>4443</v>
      </c>
      <c r="J25" s="284">
        <v>574.33000000000004</v>
      </c>
      <c r="K25" s="284">
        <v>226.5</v>
      </c>
      <c r="L25" s="284">
        <v>1205.2</v>
      </c>
      <c r="M25" s="284">
        <v>0</v>
      </c>
      <c r="N25" s="284">
        <v>0</v>
      </c>
      <c r="O25" s="284">
        <v>0</v>
      </c>
      <c r="P25" s="284">
        <v>170</v>
      </c>
    </row>
    <row r="26" spans="1:16" x14ac:dyDescent="0.25">
      <c r="A26" s="260" t="s">
        <v>537</v>
      </c>
      <c r="B26" s="283">
        <v>3373</v>
      </c>
      <c r="C26" s="283">
        <v>2123</v>
      </c>
      <c r="D26" s="283">
        <v>923</v>
      </c>
      <c r="E26" s="283">
        <v>0</v>
      </c>
      <c r="F26" s="283">
        <v>32</v>
      </c>
      <c r="G26" s="283">
        <v>1266.55</v>
      </c>
      <c r="H26" s="283">
        <v>40</v>
      </c>
      <c r="I26" s="283">
        <v>4487</v>
      </c>
      <c r="J26" s="283">
        <v>601.22</v>
      </c>
      <c r="K26" s="283">
        <v>225</v>
      </c>
      <c r="L26" s="283">
        <v>1311.2</v>
      </c>
      <c r="M26" s="283">
        <v>0</v>
      </c>
      <c r="N26" s="283">
        <v>0</v>
      </c>
      <c r="O26" s="283">
        <v>0</v>
      </c>
      <c r="P26" s="283">
        <v>182</v>
      </c>
    </row>
    <row r="27" spans="1:16" x14ac:dyDescent="0.25">
      <c r="A27" s="260" t="s">
        <v>1160</v>
      </c>
      <c r="B27" s="284">
        <v>3335.5</v>
      </c>
      <c r="C27" s="284">
        <v>2119</v>
      </c>
      <c r="D27" s="284">
        <v>922.5</v>
      </c>
      <c r="E27" s="284">
        <v>0</v>
      </c>
      <c r="F27" s="284">
        <v>35</v>
      </c>
      <c r="G27" s="284">
        <v>1314.56</v>
      </c>
      <c r="H27" s="284">
        <v>40</v>
      </c>
      <c r="I27" s="284">
        <v>4518.5</v>
      </c>
      <c r="J27" s="284">
        <v>623.09</v>
      </c>
      <c r="K27" s="284">
        <v>239.5</v>
      </c>
      <c r="L27" s="284">
        <v>1411.2</v>
      </c>
      <c r="M27" s="284">
        <v>0</v>
      </c>
      <c r="N27" s="284">
        <v>0</v>
      </c>
      <c r="O27" s="284">
        <v>0.5</v>
      </c>
      <c r="P27" s="284">
        <v>194.5</v>
      </c>
    </row>
    <row r="28" spans="1:16" x14ac:dyDescent="0.25">
      <c r="A28" s="260" t="s">
        <v>536</v>
      </c>
      <c r="B28" s="283">
        <v>3298</v>
      </c>
      <c r="C28" s="283">
        <v>2115</v>
      </c>
      <c r="D28" s="283">
        <v>922</v>
      </c>
      <c r="E28" s="283">
        <v>0</v>
      </c>
      <c r="F28" s="283">
        <v>38</v>
      </c>
      <c r="G28" s="283">
        <v>1362.57</v>
      </c>
      <c r="H28" s="283">
        <v>40</v>
      </c>
      <c r="I28" s="283">
        <v>4550</v>
      </c>
      <c r="J28" s="283">
        <v>644.96</v>
      </c>
      <c r="K28" s="283">
        <v>254</v>
      </c>
      <c r="L28" s="283">
        <v>1511.2</v>
      </c>
      <c r="M28" s="283">
        <v>0</v>
      </c>
      <c r="N28" s="283">
        <v>0</v>
      </c>
      <c r="O28" s="283">
        <v>1</v>
      </c>
      <c r="P28" s="283">
        <v>207</v>
      </c>
    </row>
    <row r="29" spans="1:16" x14ac:dyDescent="0.25">
      <c r="A29" s="260" t="s">
        <v>1159</v>
      </c>
      <c r="B29" s="284">
        <v>3310</v>
      </c>
      <c r="C29" s="284">
        <v>2132.75</v>
      </c>
      <c r="D29" s="284">
        <v>922</v>
      </c>
      <c r="E29" s="284">
        <v>0</v>
      </c>
      <c r="F29" s="284">
        <v>43</v>
      </c>
      <c r="G29" s="284">
        <v>1360.1849999999999</v>
      </c>
      <c r="H29" s="284">
        <v>40</v>
      </c>
      <c r="I29" s="284">
        <v>4568.5</v>
      </c>
      <c r="J29" s="284">
        <v>630.09</v>
      </c>
      <c r="K29" s="284">
        <v>287.5</v>
      </c>
      <c r="L29" s="284">
        <v>1648.7</v>
      </c>
      <c r="M29" s="284">
        <v>0</v>
      </c>
      <c r="N29" s="284">
        <v>0</v>
      </c>
      <c r="O29" s="284">
        <v>5</v>
      </c>
      <c r="P29" s="284">
        <v>212</v>
      </c>
    </row>
    <row r="30" spans="1:16" x14ac:dyDescent="0.25">
      <c r="A30" s="260" t="s">
        <v>535</v>
      </c>
      <c r="B30" s="283">
        <v>3322</v>
      </c>
      <c r="C30" s="283">
        <v>2150.5</v>
      </c>
      <c r="D30" s="283">
        <v>922</v>
      </c>
      <c r="E30" s="283">
        <v>0</v>
      </c>
      <c r="F30" s="283">
        <v>48</v>
      </c>
      <c r="G30" s="283">
        <v>1357.8</v>
      </c>
      <c r="H30" s="283">
        <v>40</v>
      </c>
      <c r="I30" s="283">
        <v>4587</v>
      </c>
      <c r="J30" s="283">
        <v>615.22</v>
      </c>
      <c r="K30" s="283">
        <v>321</v>
      </c>
      <c r="L30" s="283">
        <v>1786.2</v>
      </c>
      <c r="M30" s="283">
        <v>0</v>
      </c>
      <c r="N30" s="283">
        <v>0</v>
      </c>
      <c r="O30" s="283">
        <v>9</v>
      </c>
      <c r="P30" s="283">
        <v>217</v>
      </c>
    </row>
    <row r="31" spans="1:16" x14ac:dyDescent="0.25">
      <c r="A31" s="260" t="s">
        <v>1158</v>
      </c>
      <c r="B31" s="284">
        <v>3299.5</v>
      </c>
      <c r="C31" s="284">
        <v>2147.25</v>
      </c>
      <c r="D31" s="284">
        <v>923</v>
      </c>
      <c r="E31" s="284">
        <v>0</v>
      </c>
      <c r="F31" s="284">
        <v>46</v>
      </c>
      <c r="G31" s="284">
        <v>1359.9849999999999</v>
      </c>
      <c r="H31" s="284">
        <v>40</v>
      </c>
      <c r="I31" s="284">
        <v>4623</v>
      </c>
      <c r="J31" s="284">
        <v>578.29999999999995</v>
      </c>
      <c r="K31" s="284">
        <v>324</v>
      </c>
      <c r="L31" s="284">
        <v>2006.6</v>
      </c>
      <c r="M31" s="284">
        <v>0</v>
      </c>
      <c r="N31" s="284">
        <v>0</v>
      </c>
      <c r="O31" s="284">
        <v>9.5</v>
      </c>
      <c r="P31" s="284">
        <v>236.5</v>
      </c>
    </row>
    <row r="32" spans="1:16" x14ac:dyDescent="0.25">
      <c r="A32" s="260" t="s">
        <v>534</v>
      </c>
      <c r="B32" s="283">
        <v>3277</v>
      </c>
      <c r="C32" s="283">
        <v>2144</v>
      </c>
      <c r="D32" s="283">
        <v>924</v>
      </c>
      <c r="E32" s="283">
        <v>0</v>
      </c>
      <c r="F32" s="283">
        <v>44</v>
      </c>
      <c r="G32" s="283">
        <v>1362.17</v>
      </c>
      <c r="H32" s="283">
        <v>40</v>
      </c>
      <c r="I32" s="283">
        <v>4659</v>
      </c>
      <c r="J32" s="283">
        <v>541.38</v>
      </c>
      <c r="K32" s="283">
        <v>327</v>
      </c>
      <c r="L32" s="283">
        <v>2227</v>
      </c>
      <c r="M32" s="283">
        <v>0</v>
      </c>
      <c r="N32" s="283">
        <v>0</v>
      </c>
      <c r="O32" s="283">
        <v>10</v>
      </c>
      <c r="P32" s="283">
        <v>256</v>
      </c>
    </row>
    <row r="33" spans="1:16" x14ac:dyDescent="0.25">
      <c r="A33" s="260" t="s">
        <v>1157</v>
      </c>
      <c r="B33" s="284">
        <v>3266</v>
      </c>
      <c r="C33" s="284">
        <v>2166</v>
      </c>
      <c r="D33" s="284">
        <v>923.5</v>
      </c>
      <c r="E33" s="284">
        <v>0</v>
      </c>
      <c r="F33" s="284">
        <v>47</v>
      </c>
      <c r="G33" s="284">
        <v>1364.37</v>
      </c>
      <c r="H33" s="284">
        <v>38.5</v>
      </c>
      <c r="I33" s="284">
        <v>4632.5</v>
      </c>
      <c r="J33" s="284">
        <v>463.27</v>
      </c>
      <c r="K33" s="284">
        <v>327.5</v>
      </c>
      <c r="L33" s="284">
        <v>2257.1</v>
      </c>
      <c r="M33" s="284">
        <v>0</v>
      </c>
      <c r="N33" s="284">
        <v>0</v>
      </c>
      <c r="O33" s="284">
        <v>13.5</v>
      </c>
      <c r="P33" s="284">
        <v>252</v>
      </c>
    </row>
    <row r="34" spans="1:16" x14ac:dyDescent="0.25">
      <c r="A34" s="260" t="s">
        <v>533</v>
      </c>
      <c r="B34" s="283">
        <v>3255</v>
      </c>
      <c r="C34" s="283">
        <v>2188</v>
      </c>
      <c r="D34" s="283">
        <v>923</v>
      </c>
      <c r="E34" s="283">
        <v>0</v>
      </c>
      <c r="F34" s="283">
        <v>50</v>
      </c>
      <c r="G34" s="283">
        <v>1366.57</v>
      </c>
      <c r="H34" s="283">
        <v>37</v>
      </c>
      <c r="I34" s="283">
        <v>4606</v>
      </c>
      <c r="J34" s="283">
        <v>385.16</v>
      </c>
      <c r="K34" s="283">
        <v>328</v>
      </c>
      <c r="L34" s="283">
        <v>2287.1999999999998</v>
      </c>
      <c r="M34" s="283">
        <v>0</v>
      </c>
      <c r="N34" s="283">
        <v>0</v>
      </c>
      <c r="O34" s="283">
        <v>17</v>
      </c>
      <c r="P34" s="283">
        <v>248</v>
      </c>
    </row>
    <row r="35" spans="1:16" x14ac:dyDescent="0.25">
      <c r="A35" s="260" t="s">
        <v>774</v>
      </c>
      <c r="B35" s="284">
        <v>3231</v>
      </c>
      <c r="C35" s="284">
        <v>2185.5</v>
      </c>
      <c r="D35" s="284">
        <v>922.5</v>
      </c>
      <c r="E35" s="284">
        <v>0</v>
      </c>
      <c r="F35" s="284">
        <v>49</v>
      </c>
      <c r="G35" s="284">
        <v>1376.9849999999999</v>
      </c>
      <c r="H35" s="284">
        <v>38</v>
      </c>
      <c r="I35" s="284">
        <v>4480.5</v>
      </c>
      <c r="J35" s="284">
        <v>323.08999999999997</v>
      </c>
      <c r="K35" s="284">
        <v>333</v>
      </c>
      <c r="L35" s="284">
        <v>2196.9499999999998</v>
      </c>
      <c r="M35" s="284">
        <v>0</v>
      </c>
      <c r="N35" s="284">
        <v>0</v>
      </c>
      <c r="O35" s="284">
        <v>13</v>
      </c>
      <c r="P35" s="284">
        <v>209</v>
      </c>
    </row>
    <row r="36" spans="1:16" x14ac:dyDescent="0.25">
      <c r="A36" s="260" t="s">
        <v>532</v>
      </c>
      <c r="B36" s="283">
        <v>3207</v>
      </c>
      <c r="C36" s="283">
        <v>2183</v>
      </c>
      <c r="D36" s="283">
        <v>922</v>
      </c>
      <c r="E36" s="283">
        <v>0</v>
      </c>
      <c r="F36" s="283">
        <v>48</v>
      </c>
      <c r="G36" s="283">
        <v>1387.4</v>
      </c>
      <c r="H36" s="283">
        <v>39</v>
      </c>
      <c r="I36" s="283">
        <v>4355</v>
      </c>
      <c r="J36" s="283">
        <v>261.02</v>
      </c>
      <c r="K36" s="283">
        <v>338</v>
      </c>
      <c r="L36" s="283">
        <v>2106.6999999999998</v>
      </c>
      <c r="M36" s="283">
        <v>0</v>
      </c>
      <c r="N36" s="283">
        <v>0</v>
      </c>
      <c r="O36" s="283">
        <v>9</v>
      </c>
      <c r="P36" s="283">
        <v>170</v>
      </c>
    </row>
    <row r="37" spans="1:16" x14ac:dyDescent="0.25">
      <c r="A37" s="260" t="s">
        <v>1156</v>
      </c>
      <c r="B37" s="284">
        <v>3120.5</v>
      </c>
      <c r="C37" s="284">
        <v>2112.5</v>
      </c>
      <c r="D37" s="284">
        <v>922</v>
      </c>
      <c r="E37" s="284">
        <v>0</v>
      </c>
      <c r="F37" s="284">
        <v>45</v>
      </c>
      <c r="G37" s="284">
        <v>1411.4949999999999</v>
      </c>
      <c r="H37" s="284">
        <v>39.5</v>
      </c>
      <c r="I37" s="284">
        <v>4216</v>
      </c>
      <c r="J37" s="284">
        <v>183.92</v>
      </c>
      <c r="K37" s="284">
        <v>370</v>
      </c>
      <c r="L37" s="284">
        <v>1973.7</v>
      </c>
      <c r="M37" s="284">
        <v>0</v>
      </c>
      <c r="N37" s="284">
        <v>0</v>
      </c>
      <c r="O37" s="284">
        <v>6.5</v>
      </c>
      <c r="P37" s="284">
        <v>102.5</v>
      </c>
    </row>
    <row r="38" spans="1:16" x14ac:dyDescent="0.25">
      <c r="A38" s="260" t="s">
        <v>531</v>
      </c>
      <c r="B38" s="283">
        <v>3034</v>
      </c>
      <c r="C38" s="283">
        <v>2042</v>
      </c>
      <c r="D38" s="283">
        <v>922</v>
      </c>
      <c r="E38" s="283">
        <v>0</v>
      </c>
      <c r="F38" s="283">
        <v>42</v>
      </c>
      <c r="G38" s="283">
        <v>1435.59</v>
      </c>
      <c r="H38" s="283">
        <v>40</v>
      </c>
      <c r="I38" s="283">
        <v>4077</v>
      </c>
      <c r="J38" s="283">
        <v>106.82</v>
      </c>
      <c r="K38" s="283">
        <v>402</v>
      </c>
      <c r="L38" s="283">
        <v>1840.7</v>
      </c>
      <c r="M38" s="283">
        <v>0</v>
      </c>
      <c r="N38" s="283">
        <v>0</v>
      </c>
      <c r="O38" s="283">
        <v>4</v>
      </c>
      <c r="P38" s="283">
        <v>35</v>
      </c>
    </row>
    <row r="39" spans="1:16" x14ac:dyDescent="0.25">
      <c r="A39" s="260" t="s">
        <v>754</v>
      </c>
      <c r="B39" s="284">
        <v>2973.5</v>
      </c>
      <c r="C39" s="284">
        <v>1916</v>
      </c>
      <c r="D39" s="284">
        <v>921.5</v>
      </c>
      <c r="E39" s="284">
        <v>0</v>
      </c>
      <c r="F39" s="284">
        <v>35</v>
      </c>
      <c r="G39" s="284">
        <v>1440.5050000000001</v>
      </c>
      <c r="H39" s="284">
        <v>40</v>
      </c>
      <c r="I39" s="284">
        <v>3912</v>
      </c>
      <c r="J39" s="284">
        <v>62.865000000000002</v>
      </c>
      <c r="K39" s="284">
        <v>415.5</v>
      </c>
      <c r="L39" s="284">
        <v>1637.6</v>
      </c>
      <c r="M39" s="284">
        <v>0</v>
      </c>
      <c r="N39" s="284">
        <v>0</v>
      </c>
      <c r="O39" s="284">
        <v>2.5</v>
      </c>
      <c r="P39" s="284">
        <v>17.5</v>
      </c>
    </row>
    <row r="40" spans="1:16" x14ac:dyDescent="0.25">
      <c r="A40" s="260" t="s">
        <v>530</v>
      </c>
      <c r="B40" s="283">
        <v>2913</v>
      </c>
      <c r="C40" s="283">
        <v>1790</v>
      </c>
      <c r="D40" s="283">
        <v>921</v>
      </c>
      <c r="E40" s="283">
        <v>0</v>
      </c>
      <c r="F40" s="283">
        <v>28</v>
      </c>
      <c r="G40" s="283">
        <v>1445.42</v>
      </c>
      <c r="H40" s="283">
        <v>40</v>
      </c>
      <c r="I40" s="283">
        <v>3747</v>
      </c>
      <c r="J40" s="283">
        <v>18.91</v>
      </c>
      <c r="K40" s="283">
        <v>429</v>
      </c>
      <c r="L40" s="283">
        <v>1434.5</v>
      </c>
      <c r="M40" s="283">
        <v>0</v>
      </c>
      <c r="N40" s="283">
        <v>0</v>
      </c>
      <c r="O40" s="283">
        <v>1</v>
      </c>
      <c r="P40" s="283">
        <v>0</v>
      </c>
    </row>
    <row r="41" spans="1:16" x14ac:dyDescent="0.25">
      <c r="A41" s="260" t="s">
        <v>1010</v>
      </c>
      <c r="B41" s="285">
        <v>3084.5</v>
      </c>
      <c r="C41" s="285">
        <v>1907.2</v>
      </c>
      <c r="D41" s="285">
        <v>900</v>
      </c>
      <c r="E41" s="285">
        <v>0</v>
      </c>
      <c r="F41" s="285">
        <v>34</v>
      </c>
      <c r="G41" s="285">
        <v>1450.23</v>
      </c>
      <c r="H41" s="285">
        <v>40</v>
      </c>
      <c r="I41" s="285">
        <v>3956</v>
      </c>
      <c r="J41" s="285">
        <v>9.4550000000000001</v>
      </c>
      <c r="K41" s="285">
        <v>449</v>
      </c>
      <c r="L41" s="285">
        <v>1523.5</v>
      </c>
      <c r="M41" s="285">
        <v>0</v>
      </c>
      <c r="N41" s="285">
        <v>0</v>
      </c>
      <c r="O41" s="285">
        <v>0.5</v>
      </c>
      <c r="P41" s="285">
        <v>24</v>
      </c>
    </row>
    <row r="42" spans="1:16" x14ac:dyDescent="0.25">
      <c r="A42" s="260" t="s">
        <v>529</v>
      </c>
      <c r="B42" s="283">
        <v>3256</v>
      </c>
      <c r="C42" s="283">
        <v>2024.4</v>
      </c>
      <c r="D42" s="283">
        <v>879</v>
      </c>
      <c r="E42" s="283">
        <v>0</v>
      </c>
      <c r="F42" s="283">
        <v>40</v>
      </c>
      <c r="G42" s="283">
        <v>1455.04</v>
      </c>
      <c r="H42" s="283">
        <v>40</v>
      </c>
      <c r="I42" s="283">
        <v>4165</v>
      </c>
      <c r="J42" s="283">
        <v>0</v>
      </c>
      <c r="K42" s="283">
        <v>469</v>
      </c>
      <c r="L42" s="283">
        <v>1612.5</v>
      </c>
      <c r="M42" s="283">
        <v>0</v>
      </c>
      <c r="N42" s="283">
        <v>0</v>
      </c>
      <c r="O42" s="283">
        <v>0</v>
      </c>
      <c r="P42" s="283">
        <v>48</v>
      </c>
    </row>
    <row r="43" spans="1:16" x14ac:dyDescent="0.25">
      <c r="A43" s="260" t="s">
        <v>528</v>
      </c>
      <c r="B43" s="283">
        <v>3355</v>
      </c>
      <c r="C43" s="283">
        <v>1995</v>
      </c>
      <c r="D43" s="283">
        <v>879</v>
      </c>
      <c r="E43" s="283">
        <v>0</v>
      </c>
      <c r="F43" s="283">
        <v>44</v>
      </c>
      <c r="G43" s="283">
        <v>1439.03</v>
      </c>
      <c r="H43" s="283">
        <v>40</v>
      </c>
      <c r="I43" s="283">
        <v>4688</v>
      </c>
      <c r="J43" s="283">
        <v>0</v>
      </c>
      <c r="K43" s="283">
        <v>542</v>
      </c>
      <c r="L43" s="283">
        <v>1956.7</v>
      </c>
      <c r="M43" s="283">
        <v>0</v>
      </c>
      <c r="N43" s="283">
        <v>0</v>
      </c>
      <c r="O43" s="283">
        <v>0</v>
      </c>
      <c r="P43" s="283">
        <v>50</v>
      </c>
    </row>
    <row r="44" spans="1:16" x14ac:dyDescent="0.25">
      <c r="A44" s="260" t="s">
        <v>527</v>
      </c>
      <c r="B44" s="283">
        <v>3335</v>
      </c>
      <c r="C44" s="283">
        <v>2091</v>
      </c>
      <c r="D44" s="283">
        <v>879</v>
      </c>
      <c r="E44" s="283">
        <v>0</v>
      </c>
      <c r="F44" s="283">
        <v>46</v>
      </c>
      <c r="G44" s="283">
        <v>1447.02</v>
      </c>
      <c r="H44" s="283">
        <v>40</v>
      </c>
      <c r="I44" s="283">
        <v>4809</v>
      </c>
      <c r="J44" s="283">
        <v>0</v>
      </c>
      <c r="K44" s="283">
        <v>457</v>
      </c>
      <c r="L44" s="283">
        <v>1800.7</v>
      </c>
      <c r="M44" s="283">
        <v>0</v>
      </c>
      <c r="N44" s="283">
        <v>0</v>
      </c>
      <c r="O44" s="283">
        <v>0</v>
      </c>
      <c r="P44" s="283">
        <v>39</v>
      </c>
    </row>
    <row r="45" spans="1:16" x14ac:dyDescent="0.25">
      <c r="A45" s="260" t="s">
        <v>1155</v>
      </c>
      <c r="B45" s="284">
        <v>3359</v>
      </c>
      <c r="C45" s="284">
        <v>2105.25</v>
      </c>
      <c r="D45" s="284">
        <v>902.5</v>
      </c>
      <c r="E45" s="284">
        <v>0</v>
      </c>
      <c r="F45" s="284">
        <v>45</v>
      </c>
      <c r="G45" s="284">
        <v>1448.01</v>
      </c>
      <c r="H45" s="284">
        <v>40</v>
      </c>
      <c r="I45" s="284">
        <v>4961</v>
      </c>
      <c r="J45" s="284">
        <v>0</v>
      </c>
      <c r="K45" s="284">
        <v>471.5</v>
      </c>
      <c r="L45" s="284">
        <v>1642.35</v>
      </c>
      <c r="M45" s="284">
        <v>0</v>
      </c>
      <c r="N45" s="284">
        <v>0</v>
      </c>
      <c r="O45" s="284">
        <v>0</v>
      </c>
      <c r="P45" s="284">
        <v>19.5</v>
      </c>
    </row>
    <row r="46" spans="1:16" x14ac:dyDescent="0.25">
      <c r="A46" s="260" t="s">
        <v>526</v>
      </c>
      <c r="B46" s="283">
        <v>3383</v>
      </c>
      <c r="C46" s="283">
        <v>2119.5</v>
      </c>
      <c r="D46" s="283">
        <v>926</v>
      </c>
      <c r="E46" s="283">
        <v>0</v>
      </c>
      <c r="F46" s="283">
        <v>44</v>
      </c>
      <c r="G46" s="283">
        <v>1449</v>
      </c>
      <c r="H46" s="283">
        <v>40</v>
      </c>
      <c r="I46" s="283">
        <v>5113</v>
      </c>
      <c r="J46" s="283">
        <v>0</v>
      </c>
      <c r="K46" s="283">
        <v>486</v>
      </c>
      <c r="L46" s="283">
        <v>1484</v>
      </c>
      <c r="M46" s="283">
        <v>0</v>
      </c>
      <c r="N46" s="283">
        <v>0</v>
      </c>
      <c r="O46" s="283">
        <v>0</v>
      </c>
      <c r="P46" s="283">
        <v>0</v>
      </c>
    </row>
    <row r="47" spans="1:16" x14ac:dyDescent="0.25">
      <c r="A47" s="260" t="s">
        <v>1153</v>
      </c>
      <c r="B47" s="284">
        <v>3444</v>
      </c>
      <c r="C47" s="284">
        <v>2125.25</v>
      </c>
      <c r="D47" s="284">
        <v>926</v>
      </c>
      <c r="E47" s="284">
        <v>0</v>
      </c>
      <c r="F47" s="284">
        <v>45</v>
      </c>
      <c r="G47" s="284">
        <v>1444.5</v>
      </c>
      <c r="H47" s="284">
        <v>40</v>
      </c>
      <c r="I47" s="284">
        <v>5032</v>
      </c>
      <c r="J47" s="284">
        <v>0</v>
      </c>
      <c r="K47" s="284">
        <v>485</v>
      </c>
      <c r="L47" s="284">
        <v>1512</v>
      </c>
      <c r="M47" s="284">
        <v>0</v>
      </c>
      <c r="N47" s="284">
        <v>0</v>
      </c>
      <c r="O47" s="284">
        <v>0</v>
      </c>
      <c r="P47" s="284">
        <v>32</v>
      </c>
    </row>
    <row r="48" spans="1:16" x14ac:dyDescent="0.25">
      <c r="A48" s="260" t="s">
        <v>525</v>
      </c>
      <c r="B48" s="283">
        <v>3505</v>
      </c>
      <c r="C48" s="283">
        <v>2131</v>
      </c>
      <c r="D48" s="283">
        <v>926</v>
      </c>
      <c r="E48" s="283">
        <v>0</v>
      </c>
      <c r="F48" s="283">
        <v>46</v>
      </c>
      <c r="G48" s="283">
        <v>1440</v>
      </c>
      <c r="H48" s="283">
        <v>40</v>
      </c>
      <c r="I48" s="283">
        <v>4951</v>
      </c>
      <c r="J48" s="283">
        <v>0</v>
      </c>
      <c r="K48" s="283">
        <v>484</v>
      </c>
      <c r="L48" s="283">
        <v>1540</v>
      </c>
      <c r="M48" s="283">
        <v>0</v>
      </c>
      <c r="N48" s="283">
        <v>0</v>
      </c>
      <c r="O48" s="283">
        <v>0</v>
      </c>
      <c r="P48" s="283">
        <v>64</v>
      </c>
    </row>
    <row r="49" spans="1:26" x14ac:dyDescent="0.25">
      <c r="A49" s="260" t="s">
        <v>1152</v>
      </c>
      <c r="B49" s="284">
        <v>3456.5</v>
      </c>
      <c r="C49" s="284">
        <v>2137.25</v>
      </c>
      <c r="D49" s="284">
        <v>926</v>
      </c>
      <c r="E49" s="284">
        <v>0</v>
      </c>
      <c r="F49" s="284">
        <v>47</v>
      </c>
      <c r="G49" s="284">
        <v>1445.5</v>
      </c>
      <c r="H49" s="284">
        <v>40</v>
      </c>
      <c r="I49" s="284">
        <v>4722</v>
      </c>
      <c r="J49" s="284">
        <v>0</v>
      </c>
      <c r="K49" s="284">
        <v>516</v>
      </c>
      <c r="L49" s="284">
        <v>1852.5</v>
      </c>
      <c r="M49" s="284">
        <v>0</v>
      </c>
      <c r="N49" s="284">
        <v>0</v>
      </c>
      <c r="O49" s="284">
        <v>0</v>
      </c>
      <c r="P49" s="284">
        <v>55</v>
      </c>
    </row>
    <row r="50" spans="1:26" x14ac:dyDescent="0.25">
      <c r="A50" s="260" t="s">
        <v>524</v>
      </c>
      <c r="B50" s="283">
        <v>3408</v>
      </c>
      <c r="C50" s="283">
        <v>2143.5</v>
      </c>
      <c r="D50" s="283">
        <v>926</v>
      </c>
      <c r="E50" s="283">
        <v>0</v>
      </c>
      <c r="F50" s="283">
        <v>48</v>
      </c>
      <c r="G50" s="283">
        <v>1451</v>
      </c>
      <c r="H50" s="283">
        <v>40</v>
      </c>
      <c r="I50" s="283">
        <v>4493</v>
      </c>
      <c r="J50" s="283">
        <v>0</v>
      </c>
      <c r="K50" s="283">
        <v>548</v>
      </c>
      <c r="L50" s="283">
        <v>2165</v>
      </c>
      <c r="M50" s="283">
        <v>0</v>
      </c>
      <c r="N50" s="283">
        <v>0</v>
      </c>
      <c r="O50" s="283">
        <v>0</v>
      </c>
      <c r="P50" s="283">
        <v>46</v>
      </c>
    </row>
    <row r="51" spans="1:26" ht="15.75" customHeight="1" x14ac:dyDescent="0.25">
      <c r="V51" s="263" t="s">
        <v>1154</v>
      </c>
      <c r="W51" s="63"/>
      <c r="X51" s="63"/>
      <c r="Y51" s="63"/>
      <c r="Z51" s="63"/>
    </row>
    <row r="52" spans="1:26" ht="15.75" customHeight="1" x14ac:dyDescent="0.25">
      <c r="V52" s="263" t="s">
        <v>522</v>
      </c>
      <c r="W52" s="63"/>
      <c r="X52" s="63"/>
      <c r="Y52" s="63"/>
      <c r="Z52" s="63"/>
    </row>
  </sheetData>
  <mergeCells count="16">
    <mergeCell ref="R8:T8"/>
    <mergeCell ref="R9:T9"/>
    <mergeCell ref="V52:Z52"/>
    <mergeCell ref="V51:Z51"/>
    <mergeCell ref="U7:W7"/>
    <mergeCell ref="U8:W8"/>
    <mergeCell ref="U9:W9"/>
    <mergeCell ref="X7:Y7"/>
    <mergeCell ref="X8:Y8"/>
    <mergeCell ref="X9:Y9"/>
    <mergeCell ref="Y1:Z1"/>
    <mergeCell ref="R2:Z2"/>
    <mergeCell ref="R3:Z3"/>
    <mergeCell ref="R4:Z4"/>
    <mergeCell ref="R5:S5"/>
    <mergeCell ref="R7:T7"/>
  </mergeCells>
  <pageMargins left="0.1" right="0.05" top="0" bottom="0" header="0" footer="0"/>
  <pageSetup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880C-7F0B-47EB-9C21-963C34829E4F}">
  <sheetPr>
    <outlinePr summaryBelow="0" summaryRight="0"/>
    <pageSetUpPr fitToPage="1"/>
  </sheetPr>
  <dimension ref="A1:L154"/>
  <sheetViews>
    <sheetView showWhiteSpace="0" zoomScale="130" zoomScaleNormal="130" zoomScaleSheetLayoutView="130" workbookViewId="0">
      <selection activeCell="I25" sqref="I25"/>
    </sheetView>
  </sheetViews>
  <sheetFormatPr defaultColWidth="14.42578125" defaultRowHeight="15" customHeight="1" x14ac:dyDescent="0.2"/>
  <cols>
    <col min="1" max="1" width="24.5703125" style="292" customWidth="1"/>
    <col min="2" max="2" width="14.42578125" style="292" customWidth="1"/>
    <col min="3" max="3" width="20.7109375" style="292" customWidth="1"/>
    <col min="4" max="4" width="14.42578125" style="292" customWidth="1"/>
    <col min="5" max="5" width="19.85546875" style="292" customWidth="1"/>
    <col min="6" max="6" width="23.5703125" style="292" customWidth="1"/>
    <col min="7" max="7" width="14.42578125" style="292" customWidth="1"/>
    <col min="8" max="8" width="18.5703125" style="292" customWidth="1"/>
    <col min="9" max="9" width="14.42578125" style="292" customWidth="1"/>
    <col min="10" max="10" width="18.140625" style="292" customWidth="1"/>
    <col min="11" max="11" width="14.42578125" style="292" customWidth="1"/>
    <col min="12" max="16384" width="14.42578125" style="292"/>
  </cols>
  <sheetData>
    <row r="1" spans="1:12" ht="6" customHeight="1" x14ac:dyDescent="0.2">
      <c r="A1" s="313"/>
      <c r="B1" s="313"/>
      <c r="C1" s="313"/>
      <c r="D1" s="313"/>
      <c r="E1" s="313"/>
      <c r="F1" s="313"/>
      <c r="G1" s="313"/>
      <c r="H1" s="313"/>
      <c r="I1" s="313"/>
      <c r="J1" s="312"/>
    </row>
    <row r="2" spans="1:12" ht="26.25" customHeight="1" x14ac:dyDescent="0.4">
      <c r="A2" s="311" t="s">
        <v>0</v>
      </c>
      <c r="B2" s="309"/>
      <c r="C2" s="309"/>
      <c r="D2" s="309"/>
      <c r="E2" s="309"/>
      <c r="F2" s="309"/>
      <c r="G2" s="309"/>
      <c r="H2" s="309"/>
      <c r="I2" s="309"/>
      <c r="J2" s="309"/>
    </row>
    <row r="3" spans="1:12" ht="20.25" customHeight="1" x14ac:dyDescent="0.3">
      <c r="A3" s="310" t="s">
        <v>1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2" ht="20.25" customHeight="1" x14ac:dyDescent="0.3">
      <c r="A4" s="310" t="s">
        <v>1228</v>
      </c>
      <c r="B4" s="309"/>
      <c r="C4" s="309"/>
      <c r="D4" s="309"/>
      <c r="E4" s="309"/>
      <c r="F4" s="309"/>
      <c r="G4" s="309"/>
      <c r="H4" s="309"/>
      <c r="I4" s="309"/>
      <c r="J4" s="309"/>
    </row>
    <row r="5" spans="1:12" ht="15.75" customHeight="1" x14ac:dyDescent="0.25">
      <c r="A5" s="308" t="s">
        <v>1227</v>
      </c>
      <c r="B5" s="307" t="s">
        <v>15</v>
      </c>
      <c r="C5" s="306"/>
      <c r="D5" s="305"/>
      <c r="E5" s="305"/>
    </row>
    <row r="6" spans="1:12" s="302" customFormat="1" ht="40.5" customHeight="1" x14ac:dyDescent="0.25">
      <c r="A6" s="303" t="s">
        <v>1226</v>
      </c>
      <c r="B6" s="304" t="s">
        <v>1225</v>
      </c>
      <c r="C6" s="303" t="s">
        <v>1133</v>
      </c>
      <c r="D6" s="304" t="s">
        <v>1224</v>
      </c>
      <c r="E6" s="303" t="s">
        <v>1133</v>
      </c>
      <c r="F6" s="303" t="s">
        <v>1226</v>
      </c>
      <c r="G6" s="304" t="s">
        <v>1225</v>
      </c>
      <c r="H6" s="303" t="s">
        <v>1133</v>
      </c>
      <c r="I6" s="304" t="s">
        <v>1224</v>
      </c>
      <c r="J6" s="303" t="s">
        <v>1133</v>
      </c>
      <c r="K6" s="292"/>
      <c r="L6" s="292"/>
    </row>
    <row r="7" spans="1:12" ht="15.75" customHeight="1" x14ac:dyDescent="0.2">
      <c r="A7" s="300" t="s">
        <v>1223</v>
      </c>
      <c r="B7" s="300" t="s">
        <v>1206</v>
      </c>
      <c r="C7" s="300"/>
      <c r="D7" s="300" t="s">
        <v>1206</v>
      </c>
      <c r="E7" s="300"/>
      <c r="F7" s="300" t="s">
        <v>1223</v>
      </c>
      <c r="G7" s="300" t="s">
        <v>1206</v>
      </c>
      <c r="H7" s="300"/>
      <c r="I7" s="300" t="s">
        <v>1206</v>
      </c>
      <c r="J7" s="300"/>
    </row>
    <row r="8" spans="1:12" ht="15.75" customHeight="1" x14ac:dyDescent="0.2">
      <c r="A8" s="299" t="s">
        <v>1210</v>
      </c>
      <c r="B8" s="297">
        <v>382</v>
      </c>
      <c r="C8" s="298" t="s">
        <v>530</v>
      </c>
      <c r="D8" s="297">
        <v>369</v>
      </c>
      <c r="E8" s="297" t="s">
        <v>549</v>
      </c>
      <c r="F8" s="299" t="s">
        <v>1127</v>
      </c>
      <c r="G8" s="297">
        <v>411</v>
      </c>
      <c r="H8" s="298" t="s">
        <v>530</v>
      </c>
      <c r="I8" s="297">
        <v>403</v>
      </c>
      <c r="J8" s="297" t="s">
        <v>527</v>
      </c>
    </row>
    <row r="9" spans="1:12" ht="15.75" customHeight="1" x14ac:dyDescent="0.2">
      <c r="A9" s="299" t="s">
        <v>1114</v>
      </c>
      <c r="B9" s="297">
        <v>395</v>
      </c>
      <c r="C9" s="301">
        <v>0.20833333333333334</v>
      </c>
      <c r="D9" s="297">
        <v>360</v>
      </c>
      <c r="E9" s="301">
        <v>0.95833333333333337</v>
      </c>
      <c r="F9" s="299" t="s">
        <v>1115</v>
      </c>
      <c r="G9" s="297">
        <v>398</v>
      </c>
      <c r="H9" s="298" t="s">
        <v>533</v>
      </c>
      <c r="I9" s="297">
        <v>388</v>
      </c>
      <c r="J9" s="297" t="s">
        <v>526</v>
      </c>
    </row>
    <row r="10" spans="1:12" ht="15.75" customHeight="1" x14ac:dyDescent="0.2">
      <c r="A10" s="299" t="s">
        <v>1055</v>
      </c>
      <c r="B10" s="297">
        <v>388</v>
      </c>
      <c r="C10" s="298" t="s">
        <v>543</v>
      </c>
      <c r="D10" s="297">
        <v>364</v>
      </c>
      <c r="E10" s="297" t="s">
        <v>549</v>
      </c>
      <c r="F10" s="299" t="s">
        <v>1215</v>
      </c>
      <c r="G10" s="297">
        <v>393</v>
      </c>
      <c r="H10" s="298" t="s">
        <v>530</v>
      </c>
      <c r="I10" s="297">
        <v>376</v>
      </c>
      <c r="J10" s="297" t="s">
        <v>546</v>
      </c>
    </row>
    <row r="11" spans="1:12" ht="15.75" customHeight="1" x14ac:dyDescent="0.2">
      <c r="A11" s="299" t="s">
        <v>1214</v>
      </c>
      <c r="B11" s="297">
        <v>393</v>
      </c>
      <c r="C11" s="298" t="s">
        <v>530</v>
      </c>
      <c r="D11" s="297">
        <v>383</v>
      </c>
      <c r="E11" s="297" t="s">
        <v>549</v>
      </c>
      <c r="F11" s="299"/>
      <c r="G11" s="297"/>
      <c r="H11" s="298"/>
      <c r="I11" s="297"/>
      <c r="J11" s="297"/>
    </row>
    <row r="12" spans="1:12" ht="15.75" customHeight="1" x14ac:dyDescent="0.2">
      <c r="A12" s="299" t="s">
        <v>1213</v>
      </c>
      <c r="B12" s="297">
        <v>400</v>
      </c>
      <c r="C12" s="298" t="s">
        <v>539</v>
      </c>
      <c r="D12" s="297">
        <v>389</v>
      </c>
      <c r="E12" s="297" t="s">
        <v>526</v>
      </c>
      <c r="F12" s="299"/>
      <c r="G12" s="297"/>
      <c r="H12" s="298"/>
      <c r="I12" s="297"/>
      <c r="J12" s="297"/>
    </row>
    <row r="13" spans="1:12" ht="15.75" customHeight="1" x14ac:dyDescent="0.2">
      <c r="A13" s="299" t="s">
        <v>1049</v>
      </c>
      <c r="B13" s="297">
        <v>382</v>
      </c>
      <c r="C13" s="298" t="s">
        <v>548</v>
      </c>
      <c r="D13" s="297">
        <v>370</v>
      </c>
      <c r="E13" s="297" t="s">
        <v>526</v>
      </c>
      <c r="F13" s="299"/>
      <c r="G13" s="297"/>
      <c r="H13" s="298"/>
      <c r="I13" s="297"/>
      <c r="J13" s="297"/>
    </row>
    <row r="14" spans="1:12" ht="15.75" customHeight="1" x14ac:dyDescent="0.2">
      <c r="A14" s="299" t="s">
        <v>967</v>
      </c>
      <c r="B14" s="297">
        <v>391</v>
      </c>
      <c r="C14" s="298" t="s">
        <v>530</v>
      </c>
      <c r="D14" s="297">
        <v>377</v>
      </c>
      <c r="E14" s="297" t="s">
        <v>549</v>
      </c>
      <c r="F14" s="299"/>
      <c r="G14" s="297"/>
      <c r="H14" s="298"/>
      <c r="I14" s="297"/>
      <c r="J14" s="297"/>
    </row>
    <row r="15" spans="1:12" ht="15.75" customHeight="1" x14ac:dyDescent="0.2">
      <c r="A15" s="299" t="s">
        <v>1198</v>
      </c>
      <c r="B15" s="297">
        <v>373</v>
      </c>
      <c r="C15" s="298" t="s">
        <v>530</v>
      </c>
      <c r="D15" s="297">
        <v>362</v>
      </c>
      <c r="E15" s="297" t="s">
        <v>549</v>
      </c>
      <c r="F15" s="299"/>
      <c r="G15" s="297"/>
      <c r="H15" s="298"/>
      <c r="I15" s="297"/>
      <c r="J15" s="297"/>
    </row>
    <row r="16" spans="1:12" ht="15.75" customHeight="1" x14ac:dyDescent="0.2">
      <c r="A16" s="299" t="s">
        <v>1039</v>
      </c>
      <c r="B16" s="297">
        <v>395</v>
      </c>
      <c r="C16" s="298" t="s">
        <v>529</v>
      </c>
      <c r="D16" s="297">
        <v>386</v>
      </c>
      <c r="E16" s="297" t="s">
        <v>539</v>
      </c>
      <c r="F16" s="299"/>
      <c r="G16" s="297"/>
      <c r="H16" s="298"/>
      <c r="I16" s="297"/>
      <c r="J16" s="297"/>
    </row>
    <row r="17" spans="1:10" ht="15.75" customHeight="1" x14ac:dyDescent="0.2">
      <c r="A17" s="299" t="s">
        <v>1218</v>
      </c>
      <c r="B17" s="297">
        <v>387</v>
      </c>
      <c r="C17" s="298" t="s">
        <v>530</v>
      </c>
      <c r="D17" s="297">
        <v>375</v>
      </c>
      <c r="E17" s="297" t="s">
        <v>537</v>
      </c>
      <c r="F17" s="299"/>
      <c r="G17" s="297"/>
      <c r="H17" s="298"/>
      <c r="I17" s="297"/>
      <c r="J17" s="297"/>
    </row>
    <row r="18" spans="1:10" ht="15.75" customHeight="1" x14ac:dyDescent="0.2">
      <c r="A18" s="300" t="s">
        <v>1222</v>
      </c>
      <c r="B18" s="300" t="s">
        <v>1206</v>
      </c>
      <c r="C18" s="300"/>
      <c r="D18" s="300" t="s">
        <v>1206</v>
      </c>
      <c r="E18" s="300"/>
      <c r="F18" s="300" t="s">
        <v>1222</v>
      </c>
      <c r="G18" s="300" t="s">
        <v>1206</v>
      </c>
      <c r="H18" s="300"/>
      <c r="I18" s="300" t="s">
        <v>1206</v>
      </c>
      <c r="J18" s="300"/>
    </row>
    <row r="19" spans="1:10" ht="15.75" customHeight="1" x14ac:dyDescent="0.2">
      <c r="A19" s="299" t="s">
        <v>1123</v>
      </c>
      <c r="B19" s="297">
        <v>222</v>
      </c>
      <c r="C19" s="298" t="s">
        <v>530</v>
      </c>
      <c r="D19" s="297">
        <v>213</v>
      </c>
      <c r="E19" s="297" t="s">
        <v>537</v>
      </c>
      <c r="F19" s="299" t="s">
        <v>1083</v>
      </c>
      <c r="G19" s="297">
        <v>220</v>
      </c>
      <c r="H19" s="298" t="s">
        <v>530</v>
      </c>
      <c r="I19" s="297">
        <v>210</v>
      </c>
      <c r="J19" s="297" t="s">
        <v>535</v>
      </c>
    </row>
    <row r="20" spans="1:10" ht="15.75" customHeight="1" x14ac:dyDescent="0.2">
      <c r="A20" s="299" t="s">
        <v>1129</v>
      </c>
      <c r="B20" s="297">
        <v>235</v>
      </c>
      <c r="C20" s="298" t="s">
        <v>544</v>
      </c>
      <c r="D20" s="297">
        <v>222</v>
      </c>
      <c r="E20" s="297" t="s">
        <v>536</v>
      </c>
      <c r="F20" s="299" t="s">
        <v>1197</v>
      </c>
      <c r="G20" s="297">
        <v>223</v>
      </c>
      <c r="H20" s="298" t="s">
        <v>530</v>
      </c>
      <c r="I20" s="297">
        <v>210</v>
      </c>
      <c r="J20" s="297" t="s">
        <v>549</v>
      </c>
    </row>
    <row r="21" spans="1:10" ht="15.75" customHeight="1" x14ac:dyDescent="0.2">
      <c r="A21" s="299" t="s">
        <v>1210</v>
      </c>
      <c r="B21" s="297">
        <v>222</v>
      </c>
      <c r="C21" s="298" t="s">
        <v>530</v>
      </c>
      <c r="D21" s="297">
        <v>213</v>
      </c>
      <c r="E21" s="297" t="s">
        <v>534</v>
      </c>
      <c r="F21" s="299" t="s">
        <v>1039</v>
      </c>
      <c r="G21" s="297">
        <v>235</v>
      </c>
      <c r="H21" s="298" t="s">
        <v>548</v>
      </c>
      <c r="I21" s="297">
        <v>226</v>
      </c>
      <c r="J21" s="297" t="s">
        <v>540</v>
      </c>
    </row>
    <row r="22" spans="1:10" ht="15.75" customHeight="1" x14ac:dyDescent="0.2">
      <c r="A22" s="299" t="s">
        <v>1114</v>
      </c>
      <c r="B22" s="297">
        <v>229</v>
      </c>
      <c r="C22" s="298" t="s">
        <v>532</v>
      </c>
      <c r="D22" s="297">
        <v>220</v>
      </c>
      <c r="E22" s="297" t="s">
        <v>549</v>
      </c>
      <c r="F22" s="299" t="s">
        <v>1221</v>
      </c>
      <c r="G22" s="297">
        <v>236</v>
      </c>
      <c r="H22" s="298" t="s">
        <v>546</v>
      </c>
      <c r="I22" s="297">
        <v>227</v>
      </c>
      <c r="J22" s="297" t="s">
        <v>540</v>
      </c>
    </row>
    <row r="23" spans="1:10" ht="15.75" customHeight="1" x14ac:dyDescent="0.2">
      <c r="A23" s="299" t="s">
        <v>1220</v>
      </c>
      <c r="B23" s="297">
        <v>220</v>
      </c>
      <c r="C23" s="301">
        <v>0.20833333333333334</v>
      </c>
      <c r="D23" s="297">
        <v>210</v>
      </c>
      <c r="E23" s="301">
        <v>0.95833333333333337</v>
      </c>
      <c r="F23" s="299" t="s">
        <v>1027</v>
      </c>
      <c r="G23" s="297">
        <v>219</v>
      </c>
      <c r="H23" s="298" t="s">
        <v>530</v>
      </c>
      <c r="I23" s="297">
        <v>210</v>
      </c>
      <c r="J23" s="297" t="s">
        <v>537</v>
      </c>
    </row>
    <row r="24" spans="1:10" ht="15.75" customHeight="1" x14ac:dyDescent="0.2">
      <c r="A24" s="299" t="s">
        <v>1219</v>
      </c>
      <c r="B24" s="297">
        <v>232</v>
      </c>
      <c r="C24" s="298" t="s">
        <v>542</v>
      </c>
      <c r="D24" s="297">
        <v>223</v>
      </c>
      <c r="E24" s="297" t="s">
        <v>526</v>
      </c>
      <c r="F24" s="299" t="s">
        <v>1218</v>
      </c>
      <c r="G24" s="297">
        <v>227</v>
      </c>
      <c r="H24" s="298" t="s">
        <v>1010</v>
      </c>
      <c r="I24" s="297">
        <v>215</v>
      </c>
      <c r="J24" s="297" t="s">
        <v>549</v>
      </c>
    </row>
    <row r="25" spans="1:10" ht="15.75" customHeight="1" x14ac:dyDescent="0.2">
      <c r="A25" s="299" t="s">
        <v>1094</v>
      </c>
      <c r="B25" s="297">
        <v>226</v>
      </c>
      <c r="C25" s="298" t="s">
        <v>524</v>
      </c>
      <c r="D25" s="297">
        <v>217</v>
      </c>
      <c r="E25" s="297" t="s">
        <v>536</v>
      </c>
      <c r="F25" s="299" t="s">
        <v>1217</v>
      </c>
      <c r="G25" s="297">
        <v>223</v>
      </c>
      <c r="H25" s="298" t="s">
        <v>530</v>
      </c>
      <c r="I25" s="297">
        <v>215</v>
      </c>
      <c r="J25" s="297" t="s">
        <v>537</v>
      </c>
    </row>
    <row r="26" spans="1:10" ht="15.75" customHeight="1" x14ac:dyDescent="0.2">
      <c r="A26" s="299" t="s">
        <v>1216</v>
      </c>
      <c r="B26" s="297">
        <v>225</v>
      </c>
      <c r="C26" s="301">
        <v>0.95833333333333337</v>
      </c>
      <c r="D26" s="297">
        <v>216</v>
      </c>
      <c r="E26" s="301">
        <v>0.5</v>
      </c>
      <c r="F26" s="299" t="s">
        <v>1013</v>
      </c>
      <c r="G26" s="297">
        <v>235</v>
      </c>
      <c r="H26" s="298" t="s">
        <v>546</v>
      </c>
      <c r="I26" s="297">
        <v>218</v>
      </c>
      <c r="J26" s="297" t="s">
        <v>537</v>
      </c>
    </row>
    <row r="27" spans="1:10" ht="15.75" customHeight="1" x14ac:dyDescent="0.2">
      <c r="A27" s="299" t="s">
        <v>513</v>
      </c>
      <c r="B27" s="297">
        <v>234</v>
      </c>
      <c r="C27" s="298" t="s">
        <v>530</v>
      </c>
      <c r="D27" s="297">
        <v>225</v>
      </c>
      <c r="E27" s="297" t="s">
        <v>549</v>
      </c>
      <c r="F27" s="299" t="s">
        <v>514</v>
      </c>
      <c r="G27" s="297">
        <v>232</v>
      </c>
      <c r="H27" s="298" t="s">
        <v>539</v>
      </c>
      <c r="I27" s="297">
        <v>221</v>
      </c>
      <c r="J27" s="297" t="s">
        <v>526</v>
      </c>
    </row>
    <row r="28" spans="1:10" ht="15.75" customHeight="1" x14ac:dyDescent="0.2">
      <c r="A28" s="299" t="s">
        <v>1209</v>
      </c>
      <c r="B28" s="297">
        <v>233</v>
      </c>
      <c r="C28" s="298" t="s">
        <v>539</v>
      </c>
      <c r="D28" s="297">
        <v>223</v>
      </c>
      <c r="E28" s="297" t="s">
        <v>526</v>
      </c>
      <c r="F28" s="299" t="s">
        <v>1215</v>
      </c>
      <c r="G28" s="297">
        <v>224</v>
      </c>
      <c r="H28" s="298" t="s">
        <v>530</v>
      </c>
      <c r="I28" s="297">
        <v>211</v>
      </c>
      <c r="J28" s="297" t="s">
        <v>526</v>
      </c>
    </row>
    <row r="29" spans="1:10" ht="15.75" customHeight="1" x14ac:dyDescent="0.2">
      <c r="A29" s="299" t="s">
        <v>1055</v>
      </c>
      <c r="B29" s="297">
        <v>225</v>
      </c>
      <c r="C29" s="298" t="s">
        <v>543</v>
      </c>
      <c r="D29" s="297">
        <v>212</v>
      </c>
      <c r="E29" s="297" t="s">
        <v>549</v>
      </c>
      <c r="F29" s="299" t="s">
        <v>1095</v>
      </c>
      <c r="G29" s="297" t="s">
        <v>1002</v>
      </c>
      <c r="H29" s="298" t="s">
        <v>1002</v>
      </c>
      <c r="I29" s="297" t="s">
        <v>1002</v>
      </c>
      <c r="J29" s="297" t="s">
        <v>1002</v>
      </c>
    </row>
    <row r="30" spans="1:10" ht="15.75" customHeight="1" x14ac:dyDescent="0.2">
      <c r="A30" s="299" t="s">
        <v>1214</v>
      </c>
      <c r="B30" s="297">
        <v>225</v>
      </c>
      <c r="C30" s="298" t="s">
        <v>531</v>
      </c>
      <c r="D30" s="297">
        <v>217</v>
      </c>
      <c r="E30" s="297" t="s">
        <v>549</v>
      </c>
      <c r="F30" s="299" t="s">
        <v>1204</v>
      </c>
      <c r="G30" s="297">
        <v>223</v>
      </c>
      <c r="H30" s="298" t="s">
        <v>543</v>
      </c>
      <c r="I30" s="297">
        <v>210</v>
      </c>
      <c r="J30" s="297" t="s">
        <v>535</v>
      </c>
    </row>
    <row r="31" spans="1:10" ht="15.75" customHeight="1" x14ac:dyDescent="0.2">
      <c r="A31" s="299" t="s">
        <v>1213</v>
      </c>
      <c r="B31" s="297">
        <v>235</v>
      </c>
      <c r="C31" s="298" t="s">
        <v>539</v>
      </c>
      <c r="D31" s="297">
        <v>222</v>
      </c>
      <c r="E31" s="297" t="s">
        <v>526</v>
      </c>
      <c r="F31" s="299" t="s">
        <v>1050</v>
      </c>
      <c r="G31" s="297">
        <v>244</v>
      </c>
      <c r="H31" s="298" t="s">
        <v>540</v>
      </c>
      <c r="I31" s="297">
        <v>224</v>
      </c>
      <c r="J31" s="297" t="s">
        <v>540</v>
      </c>
    </row>
    <row r="32" spans="1:10" ht="15.75" customHeight="1" x14ac:dyDescent="0.2">
      <c r="A32" s="299" t="s">
        <v>1049</v>
      </c>
      <c r="B32" s="297">
        <v>232</v>
      </c>
      <c r="C32" s="298" t="s">
        <v>534</v>
      </c>
      <c r="D32" s="297">
        <v>224</v>
      </c>
      <c r="E32" s="297" t="s">
        <v>526</v>
      </c>
      <c r="F32" s="299" t="s">
        <v>1041</v>
      </c>
      <c r="G32" s="297">
        <v>221</v>
      </c>
      <c r="H32" s="298" t="s">
        <v>530</v>
      </c>
      <c r="I32" s="297">
        <v>211</v>
      </c>
      <c r="J32" s="297" t="s">
        <v>535</v>
      </c>
    </row>
    <row r="33" spans="1:10" ht="15.75" customHeight="1" x14ac:dyDescent="0.2">
      <c r="A33" s="299" t="s">
        <v>1212</v>
      </c>
      <c r="B33" s="297">
        <v>232</v>
      </c>
      <c r="C33" s="298" t="s">
        <v>548</v>
      </c>
      <c r="D33" s="297">
        <v>223</v>
      </c>
      <c r="E33" s="297" t="s">
        <v>537</v>
      </c>
      <c r="F33" s="299" t="s">
        <v>1038</v>
      </c>
      <c r="G33" s="297">
        <v>222</v>
      </c>
      <c r="H33" s="298" t="s">
        <v>530</v>
      </c>
      <c r="I33" s="297">
        <v>213</v>
      </c>
      <c r="J33" s="297" t="s">
        <v>537</v>
      </c>
    </row>
    <row r="34" spans="1:10" ht="15.75" customHeight="1" x14ac:dyDescent="0.2">
      <c r="A34" s="299" t="s">
        <v>1046</v>
      </c>
      <c r="B34" s="297">
        <v>239</v>
      </c>
      <c r="C34" s="298" t="s">
        <v>537</v>
      </c>
      <c r="D34" s="297">
        <v>233</v>
      </c>
      <c r="E34" s="297" t="s">
        <v>549</v>
      </c>
      <c r="F34" s="299" t="s">
        <v>1211</v>
      </c>
      <c r="G34" s="297">
        <v>237</v>
      </c>
      <c r="H34" s="298" t="s">
        <v>544</v>
      </c>
      <c r="I34" s="297">
        <v>232</v>
      </c>
      <c r="J34" s="297" t="s">
        <v>526</v>
      </c>
    </row>
    <row r="35" spans="1:10" ht="15.75" customHeight="1" x14ac:dyDescent="0.2">
      <c r="A35" s="299" t="s">
        <v>1111</v>
      </c>
      <c r="B35" s="297">
        <v>231</v>
      </c>
      <c r="C35" s="298" t="s">
        <v>547</v>
      </c>
      <c r="D35" s="297">
        <v>218</v>
      </c>
      <c r="E35" s="297" t="s">
        <v>539</v>
      </c>
      <c r="F35" s="299" t="s">
        <v>1026</v>
      </c>
      <c r="G35" s="297">
        <v>228</v>
      </c>
      <c r="H35" s="298" t="s">
        <v>531</v>
      </c>
      <c r="I35" s="297">
        <v>218</v>
      </c>
      <c r="J35" s="297" t="s">
        <v>535</v>
      </c>
    </row>
    <row r="36" spans="1:10" ht="15.75" customHeight="1" x14ac:dyDescent="0.2">
      <c r="A36" s="299" t="s">
        <v>1007</v>
      </c>
      <c r="B36" s="297">
        <v>223</v>
      </c>
      <c r="C36" s="298" t="s">
        <v>530</v>
      </c>
      <c r="D36" s="297">
        <v>213</v>
      </c>
      <c r="E36" s="297" t="s">
        <v>535</v>
      </c>
      <c r="F36" s="299" t="s">
        <v>1001</v>
      </c>
      <c r="G36" s="297">
        <v>221</v>
      </c>
      <c r="H36" s="298" t="s">
        <v>544</v>
      </c>
      <c r="I36" s="297">
        <v>213</v>
      </c>
      <c r="J36" s="297" t="s">
        <v>538</v>
      </c>
    </row>
    <row r="37" spans="1:10" ht="15.75" customHeight="1" x14ac:dyDescent="0.2">
      <c r="A37" s="299" t="s">
        <v>986</v>
      </c>
      <c r="B37" s="297">
        <v>228</v>
      </c>
      <c r="C37" s="298" t="s">
        <v>530</v>
      </c>
      <c r="D37" s="297">
        <v>218</v>
      </c>
      <c r="E37" s="297" t="s">
        <v>549</v>
      </c>
      <c r="F37" s="299"/>
      <c r="G37" s="297"/>
      <c r="H37" s="298"/>
      <c r="I37" s="297"/>
      <c r="J37" s="297"/>
    </row>
    <row r="38" spans="1:10" ht="15.75" customHeight="1" x14ac:dyDescent="0.2">
      <c r="A38" s="299" t="s">
        <v>983</v>
      </c>
      <c r="B38" s="297">
        <v>227</v>
      </c>
      <c r="C38" s="298" t="s">
        <v>541</v>
      </c>
      <c r="D38" s="297">
        <v>218</v>
      </c>
      <c r="E38" s="297" t="s">
        <v>549</v>
      </c>
      <c r="F38" s="299"/>
      <c r="G38" s="297"/>
      <c r="H38" s="298"/>
      <c r="I38" s="297"/>
      <c r="J38" s="297"/>
    </row>
    <row r="39" spans="1:10" ht="15.75" customHeight="1" x14ac:dyDescent="0.2">
      <c r="A39" s="299" t="s">
        <v>975</v>
      </c>
      <c r="B39" s="297">
        <v>230</v>
      </c>
      <c r="C39" s="298" t="s">
        <v>549</v>
      </c>
      <c r="D39" s="297">
        <v>220</v>
      </c>
      <c r="E39" s="297" t="s">
        <v>540</v>
      </c>
      <c r="F39" s="299"/>
      <c r="G39" s="297"/>
      <c r="H39" s="298"/>
      <c r="I39" s="297"/>
      <c r="J39" s="297"/>
    </row>
    <row r="40" spans="1:10" ht="15.75" customHeight="1" x14ac:dyDescent="0.2">
      <c r="A40" s="299" t="s">
        <v>973</v>
      </c>
      <c r="B40" s="297">
        <v>223</v>
      </c>
      <c r="C40" s="298" t="s">
        <v>543</v>
      </c>
      <c r="D40" s="297">
        <v>213</v>
      </c>
      <c r="E40" s="297" t="s">
        <v>549</v>
      </c>
      <c r="F40" s="299"/>
      <c r="G40" s="297"/>
      <c r="H40" s="298"/>
      <c r="I40" s="297"/>
      <c r="J40" s="297"/>
    </row>
    <row r="41" spans="1:10" ht="15.75" customHeight="1" x14ac:dyDescent="0.2">
      <c r="A41" s="299" t="s">
        <v>967</v>
      </c>
      <c r="B41" s="297">
        <v>230</v>
      </c>
      <c r="C41" s="298" t="s">
        <v>530</v>
      </c>
      <c r="D41" s="297">
        <v>222</v>
      </c>
      <c r="E41" s="297" t="s">
        <v>549</v>
      </c>
      <c r="F41" s="299"/>
      <c r="G41" s="297"/>
      <c r="H41" s="298"/>
      <c r="I41" s="297"/>
      <c r="J41" s="297"/>
    </row>
    <row r="42" spans="1:10" ht="15.75" customHeight="1" x14ac:dyDescent="0.2">
      <c r="A42" s="299" t="s">
        <v>979</v>
      </c>
      <c r="B42" s="297">
        <v>233</v>
      </c>
      <c r="C42" s="298" t="s">
        <v>547</v>
      </c>
      <c r="D42" s="297">
        <v>221</v>
      </c>
      <c r="E42" s="297" t="s">
        <v>537</v>
      </c>
      <c r="F42" s="299"/>
      <c r="G42" s="297"/>
      <c r="H42" s="298"/>
      <c r="I42" s="297"/>
      <c r="J42" s="297"/>
    </row>
    <row r="43" spans="1:10" ht="15.75" customHeight="1" x14ac:dyDescent="0.2">
      <c r="A43" s="299" t="s">
        <v>1202</v>
      </c>
      <c r="B43" s="297">
        <v>221</v>
      </c>
      <c r="C43" s="298" t="s">
        <v>530</v>
      </c>
      <c r="D43" s="297">
        <v>212</v>
      </c>
      <c r="E43" s="297" t="s">
        <v>537</v>
      </c>
      <c r="F43" s="299"/>
      <c r="G43" s="297"/>
      <c r="H43" s="298"/>
      <c r="I43" s="297"/>
      <c r="J43" s="297"/>
    </row>
    <row r="44" spans="1:10" ht="15.75" customHeight="1" x14ac:dyDescent="0.2">
      <c r="A44" s="299" t="s">
        <v>959</v>
      </c>
      <c r="B44" s="297">
        <v>221</v>
      </c>
      <c r="C44" s="298" t="s">
        <v>530</v>
      </c>
      <c r="D44" s="297">
        <v>212</v>
      </c>
      <c r="E44" s="297" t="s">
        <v>536</v>
      </c>
      <c r="F44" s="299"/>
      <c r="G44" s="297"/>
      <c r="H44" s="298"/>
      <c r="I44" s="297"/>
      <c r="J44" s="297"/>
    </row>
    <row r="45" spans="1:10" ht="15.75" customHeight="1" x14ac:dyDescent="0.2">
      <c r="A45" s="299" t="s">
        <v>957</v>
      </c>
      <c r="B45" s="297">
        <v>235</v>
      </c>
      <c r="C45" s="298" t="s">
        <v>546</v>
      </c>
      <c r="D45" s="297">
        <v>224</v>
      </c>
      <c r="E45" s="297" t="s">
        <v>540</v>
      </c>
      <c r="F45" s="299"/>
      <c r="G45" s="297"/>
      <c r="H45" s="298"/>
      <c r="I45" s="297"/>
      <c r="J45" s="297"/>
    </row>
    <row r="46" spans="1:10" ht="15.75" customHeight="1" x14ac:dyDescent="0.2">
      <c r="A46" s="299" t="s">
        <v>1131</v>
      </c>
      <c r="B46" s="297">
        <v>234</v>
      </c>
      <c r="C46" s="298" t="s">
        <v>540</v>
      </c>
      <c r="D46" s="297">
        <v>223</v>
      </c>
      <c r="E46" s="297" t="s">
        <v>547</v>
      </c>
      <c r="F46" s="299"/>
      <c r="G46" s="297"/>
      <c r="H46" s="298"/>
      <c r="I46" s="297"/>
      <c r="J46" s="297"/>
    </row>
    <row r="47" spans="1:10" ht="15.75" customHeight="1" x14ac:dyDescent="0.2">
      <c r="A47" s="299" t="s">
        <v>1119</v>
      </c>
      <c r="B47" s="297">
        <v>228</v>
      </c>
      <c r="C47" s="298" t="s">
        <v>541</v>
      </c>
      <c r="D47" s="297">
        <v>211</v>
      </c>
      <c r="E47" s="297" t="s">
        <v>525</v>
      </c>
      <c r="F47" s="299"/>
      <c r="G47" s="297"/>
      <c r="H47" s="298"/>
      <c r="I47" s="297"/>
      <c r="J47" s="297"/>
    </row>
    <row r="48" spans="1:10" ht="15.75" customHeight="1" x14ac:dyDescent="0.2">
      <c r="A48" s="299" t="s">
        <v>1198</v>
      </c>
      <c r="B48" s="297">
        <v>228</v>
      </c>
      <c r="C48" s="298" t="s">
        <v>530</v>
      </c>
      <c r="D48" s="297">
        <v>220</v>
      </c>
      <c r="E48" s="297" t="s">
        <v>540</v>
      </c>
      <c r="F48" s="299"/>
      <c r="G48" s="297"/>
      <c r="H48" s="298"/>
      <c r="I48" s="297"/>
      <c r="J48" s="297"/>
    </row>
    <row r="49" spans="1:10" ht="15.75" customHeight="1" x14ac:dyDescent="0.2">
      <c r="A49" s="300" t="s">
        <v>1207</v>
      </c>
      <c r="B49" s="300" t="s">
        <v>1206</v>
      </c>
      <c r="C49" s="300"/>
      <c r="D49" s="300" t="s">
        <v>1206</v>
      </c>
      <c r="E49" s="300"/>
      <c r="F49" s="300" t="s">
        <v>1207</v>
      </c>
      <c r="G49" s="300" t="s">
        <v>1206</v>
      </c>
      <c r="H49" s="300"/>
      <c r="I49" s="300" t="s">
        <v>1206</v>
      </c>
      <c r="J49" s="300"/>
    </row>
    <row r="50" spans="1:10" ht="15.75" customHeight="1" x14ac:dyDescent="0.2">
      <c r="A50" s="299" t="s">
        <v>1126</v>
      </c>
      <c r="B50" s="297">
        <v>135</v>
      </c>
      <c r="C50" s="298" t="s">
        <v>543</v>
      </c>
      <c r="D50" s="297">
        <v>125</v>
      </c>
      <c r="E50" s="297" t="s">
        <v>549</v>
      </c>
      <c r="F50" s="299" t="s">
        <v>1042</v>
      </c>
      <c r="G50" s="297">
        <v>133</v>
      </c>
      <c r="H50" s="298" t="s">
        <v>543</v>
      </c>
      <c r="I50" s="297">
        <v>125</v>
      </c>
      <c r="J50" s="297" t="s">
        <v>549</v>
      </c>
    </row>
    <row r="51" spans="1:10" ht="15.75" customHeight="1" x14ac:dyDescent="0.2">
      <c r="A51" s="299" t="s">
        <v>1123</v>
      </c>
      <c r="B51" s="297">
        <v>128</v>
      </c>
      <c r="C51" s="298" t="s">
        <v>542</v>
      </c>
      <c r="D51" s="297">
        <v>122</v>
      </c>
      <c r="E51" s="297" t="s">
        <v>537</v>
      </c>
      <c r="F51" s="299" t="s">
        <v>1039</v>
      </c>
      <c r="G51" s="297">
        <v>134</v>
      </c>
      <c r="H51" s="298" t="s">
        <v>530</v>
      </c>
      <c r="I51" s="297">
        <v>126</v>
      </c>
      <c r="J51" s="297" t="s">
        <v>541</v>
      </c>
    </row>
    <row r="52" spans="1:10" ht="15.75" customHeight="1" x14ac:dyDescent="0.2">
      <c r="A52" s="299" t="s">
        <v>1120</v>
      </c>
      <c r="B52" s="297">
        <v>135</v>
      </c>
      <c r="C52" s="298" t="s">
        <v>547</v>
      </c>
      <c r="D52" s="297">
        <v>126</v>
      </c>
      <c r="E52" s="297" t="s">
        <v>540</v>
      </c>
      <c r="F52" s="299" t="s">
        <v>1036</v>
      </c>
      <c r="G52" s="297">
        <v>129</v>
      </c>
      <c r="H52" s="298" t="s">
        <v>538</v>
      </c>
      <c r="I52" s="297">
        <v>118</v>
      </c>
      <c r="J52" s="297" t="s">
        <v>526</v>
      </c>
    </row>
    <row r="53" spans="1:10" ht="15.75" customHeight="1" x14ac:dyDescent="0.2">
      <c r="A53" s="299" t="s">
        <v>1132</v>
      </c>
      <c r="B53" s="297">
        <v>132</v>
      </c>
      <c r="C53" s="298" t="s">
        <v>547</v>
      </c>
      <c r="D53" s="297">
        <v>125</v>
      </c>
      <c r="E53" s="297" t="s">
        <v>540</v>
      </c>
      <c r="F53" s="299" t="s">
        <v>1033</v>
      </c>
      <c r="G53" s="297">
        <v>137</v>
      </c>
      <c r="H53" s="298" t="s">
        <v>524</v>
      </c>
      <c r="I53" s="297">
        <v>126</v>
      </c>
      <c r="J53" s="297" t="s">
        <v>526</v>
      </c>
    </row>
    <row r="54" spans="1:10" ht="15.75" customHeight="1" x14ac:dyDescent="0.2">
      <c r="A54" s="299" t="s">
        <v>1210</v>
      </c>
      <c r="B54" s="297">
        <v>128</v>
      </c>
      <c r="C54" s="298" t="s">
        <v>530</v>
      </c>
      <c r="D54" s="297">
        <v>121</v>
      </c>
      <c r="E54" s="297" t="s">
        <v>534</v>
      </c>
      <c r="F54" s="299" t="s">
        <v>1030</v>
      </c>
      <c r="G54" s="297">
        <v>130</v>
      </c>
      <c r="H54" s="298" t="s">
        <v>530</v>
      </c>
      <c r="I54" s="297">
        <v>122</v>
      </c>
      <c r="J54" s="297" t="s">
        <v>539</v>
      </c>
    </row>
    <row r="55" spans="1:10" ht="15.75" customHeight="1" x14ac:dyDescent="0.2">
      <c r="A55" s="299" t="s">
        <v>1117</v>
      </c>
      <c r="B55" s="297">
        <v>137</v>
      </c>
      <c r="C55" s="298" t="s">
        <v>530</v>
      </c>
      <c r="D55" s="297">
        <v>121</v>
      </c>
      <c r="E55" s="297" t="s">
        <v>526</v>
      </c>
      <c r="F55" s="299" t="s">
        <v>1027</v>
      </c>
      <c r="G55" s="297">
        <v>127</v>
      </c>
      <c r="H55" s="298" t="s">
        <v>530</v>
      </c>
      <c r="I55" s="297">
        <v>121</v>
      </c>
      <c r="J55" s="297" t="s">
        <v>535</v>
      </c>
    </row>
    <row r="56" spans="1:10" ht="15.75" customHeight="1" x14ac:dyDescent="0.2">
      <c r="A56" s="299" t="s">
        <v>1114</v>
      </c>
      <c r="B56" s="297">
        <v>137</v>
      </c>
      <c r="C56" s="298" t="s">
        <v>531</v>
      </c>
      <c r="D56" s="297">
        <v>131</v>
      </c>
      <c r="E56" s="297" t="s">
        <v>535</v>
      </c>
      <c r="F56" s="299" t="s">
        <v>1024</v>
      </c>
      <c r="G56" s="297">
        <v>119</v>
      </c>
      <c r="H56" s="298" t="s">
        <v>531</v>
      </c>
      <c r="I56" s="297">
        <v>109</v>
      </c>
      <c r="J56" s="297" t="s">
        <v>527</v>
      </c>
    </row>
    <row r="57" spans="1:10" ht="15.75" customHeight="1" x14ac:dyDescent="0.2">
      <c r="A57" s="299" t="s">
        <v>1108</v>
      </c>
      <c r="B57" s="297">
        <v>128</v>
      </c>
      <c r="C57" s="298" t="s">
        <v>539</v>
      </c>
      <c r="D57" s="297">
        <v>112</v>
      </c>
      <c r="E57" s="297" t="s">
        <v>549</v>
      </c>
      <c r="F57" s="299" t="s">
        <v>1021</v>
      </c>
      <c r="G57" s="297">
        <v>129</v>
      </c>
      <c r="H57" s="298" t="s">
        <v>530</v>
      </c>
      <c r="I57" s="297">
        <v>122</v>
      </c>
      <c r="J57" s="297" t="s">
        <v>537</v>
      </c>
    </row>
    <row r="58" spans="1:10" ht="15.75" customHeight="1" x14ac:dyDescent="0.2">
      <c r="A58" s="299" t="s">
        <v>1105</v>
      </c>
      <c r="B58" s="297">
        <v>134</v>
      </c>
      <c r="C58" s="298" t="s">
        <v>531</v>
      </c>
      <c r="D58" s="297">
        <v>122</v>
      </c>
      <c r="E58" s="297" t="s">
        <v>547</v>
      </c>
      <c r="F58" s="299" t="s">
        <v>1018</v>
      </c>
      <c r="G58" s="297">
        <v>132</v>
      </c>
      <c r="H58" s="298" t="s">
        <v>546</v>
      </c>
      <c r="I58" s="297">
        <v>125</v>
      </c>
      <c r="J58" s="297" t="s">
        <v>538</v>
      </c>
    </row>
    <row r="59" spans="1:10" ht="15.75" customHeight="1" x14ac:dyDescent="0.2">
      <c r="A59" s="299" t="s">
        <v>1103</v>
      </c>
      <c r="B59" s="297">
        <v>138</v>
      </c>
      <c r="C59" s="298" t="s">
        <v>547</v>
      </c>
      <c r="D59" s="297">
        <v>128</v>
      </c>
      <c r="E59" s="297" t="s">
        <v>542</v>
      </c>
      <c r="F59" s="299" t="s">
        <v>1016</v>
      </c>
      <c r="G59" s="297">
        <v>127</v>
      </c>
      <c r="H59" s="298" t="s">
        <v>530</v>
      </c>
      <c r="I59" s="297">
        <v>120</v>
      </c>
      <c r="J59" s="297" t="s">
        <v>549</v>
      </c>
    </row>
    <row r="60" spans="1:10" ht="15.75" customHeight="1" x14ac:dyDescent="0.2">
      <c r="A60" s="299" t="s">
        <v>1100</v>
      </c>
      <c r="B60" s="297">
        <v>132</v>
      </c>
      <c r="C60" s="298" t="s">
        <v>542</v>
      </c>
      <c r="D60" s="297">
        <v>123</v>
      </c>
      <c r="E60" s="297" t="s">
        <v>535</v>
      </c>
      <c r="F60" s="299" t="s">
        <v>1009</v>
      </c>
      <c r="G60" s="297">
        <v>134</v>
      </c>
      <c r="H60" s="298" t="s">
        <v>530</v>
      </c>
      <c r="I60" s="297">
        <v>127</v>
      </c>
      <c r="J60" s="297" t="s">
        <v>549</v>
      </c>
    </row>
    <row r="61" spans="1:10" ht="15.75" customHeight="1" x14ac:dyDescent="0.2">
      <c r="A61" s="299" t="s">
        <v>1097</v>
      </c>
      <c r="B61" s="297">
        <v>127</v>
      </c>
      <c r="C61" s="298" t="s">
        <v>542</v>
      </c>
      <c r="D61" s="297">
        <v>122</v>
      </c>
      <c r="E61" s="297" t="s">
        <v>535</v>
      </c>
      <c r="F61" s="299" t="s">
        <v>1006</v>
      </c>
      <c r="G61" s="297">
        <v>137</v>
      </c>
      <c r="H61" s="298" t="s">
        <v>524</v>
      </c>
      <c r="I61" s="297">
        <v>124</v>
      </c>
      <c r="J61" s="297" t="s">
        <v>536</v>
      </c>
    </row>
    <row r="62" spans="1:10" ht="15.75" customHeight="1" x14ac:dyDescent="0.2">
      <c r="A62" s="299" t="s">
        <v>1094</v>
      </c>
      <c r="B62" s="297">
        <v>138</v>
      </c>
      <c r="C62" s="298" t="s">
        <v>524</v>
      </c>
      <c r="D62" s="297">
        <v>129</v>
      </c>
      <c r="E62" s="297" t="s">
        <v>536</v>
      </c>
      <c r="F62" s="299" t="s">
        <v>1051</v>
      </c>
      <c r="G62" s="297">
        <v>129</v>
      </c>
      <c r="H62" s="298" t="s">
        <v>530</v>
      </c>
      <c r="I62" s="297">
        <v>121</v>
      </c>
      <c r="J62" s="297" t="s">
        <v>537</v>
      </c>
    </row>
    <row r="63" spans="1:10" ht="15.75" customHeight="1" x14ac:dyDescent="0.2">
      <c r="A63" s="299" t="s">
        <v>1091</v>
      </c>
      <c r="B63" s="297">
        <v>133</v>
      </c>
      <c r="C63" s="298" t="s">
        <v>543</v>
      </c>
      <c r="D63" s="297">
        <v>127</v>
      </c>
      <c r="E63" s="297" t="s">
        <v>547</v>
      </c>
      <c r="F63" s="299" t="s">
        <v>1003</v>
      </c>
      <c r="G63" s="297" t="s">
        <v>1002</v>
      </c>
      <c r="H63" s="298" t="s">
        <v>1002</v>
      </c>
      <c r="I63" s="297" t="s">
        <v>1002</v>
      </c>
      <c r="J63" s="297" t="s">
        <v>1002</v>
      </c>
    </row>
    <row r="64" spans="1:10" ht="15.75" customHeight="1" x14ac:dyDescent="0.2">
      <c r="A64" s="299" t="s">
        <v>513</v>
      </c>
      <c r="B64" s="297">
        <v>129</v>
      </c>
      <c r="C64" s="298" t="s">
        <v>524</v>
      </c>
      <c r="D64" s="297">
        <v>122</v>
      </c>
      <c r="E64" s="297" t="s">
        <v>548</v>
      </c>
      <c r="F64" s="299" t="s">
        <v>999</v>
      </c>
      <c r="G64" s="297">
        <v>133</v>
      </c>
      <c r="H64" s="298" t="s">
        <v>542</v>
      </c>
      <c r="I64" s="297">
        <v>125</v>
      </c>
      <c r="J64" s="297" t="s">
        <v>549</v>
      </c>
    </row>
    <row r="65" spans="1:10" ht="15.75" customHeight="1" x14ac:dyDescent="0.2">
      <c r="A65" s="299" t="s">
        <v>1087</v>
      </c>
      <c r="B65" s="297">
        <v>129</v>
      </c>
      <c r="C65" s="298" t="s">
        <v>530</v>
      </c>
      <c r="D65" s="297">
        <v>123</v>
      </c>
      <c r="E65" s="297" t="s">
        <v>549</v>
      </c>
      <c r="F65" s="299" t="s">
        <v>997</v>
      </c>
      <c r="G65" s="297">
        <v>128</v>
      </c>
      <c r="H65" s="298" t="s">
        <v>539</v>
      </c>
      <c r="I65" s="297">
        <v>114</v>
      </c>
      <c r="J65" s="297" t="s">
        <v>549</v>
      </c>
    </row>
    <row r="66" spans="1:10" ht="15.75" customHeight="1" x14ac:dyDescent="0.2">
      <c r="A66" s="299" t="s">
        <v>1084</v>
      </c>
      <c r="B66" s="297">
        <v>136</v>
      </c>
      <c r="C66" s="298" t="s">
        <v>546</v>
      </c>
      <c r="D66" s="297">
        <v>128</v>
      </c>
      <c r="E66" s="297" t="s">
        <v>540</v>
      </c>
      <c r="F66" s="299" t="s">
        <v>994</v>
      </c>
      <c r="G66" s="297">
        <v>127</v>
      </c>
      <c r="H66" s="298" t="s">
        <v>542</v>
      </c>
      <c r="I66" s="297">
        <v>122</v>
      </c>
      <c r="J66" s="297" t="s">
        <v>535</v>
      </c>
    </row>
    <row r="67" spans="1:10" ht="15.75" customHeight="1" x14ac:dyDescent="0.2">
      <c r="A67" s="299" t="s">
        <v>1081</v>
      </c>
      <c r="B67" s="297">
        <v>127</v>
      </c>
      <c r="C67" s="298" t="s">
        <v>1010</v>
      </c>
      <c r="D67" s="297">
        <v>118</v>
      </c>
      <c r="E67" s="297" t="s">
        <v>543</v>
      </c>
      <c r="F67" s="299" t="s">
        <v>991</v>
      </c>
      <c r="G67" s="297">
        <v>137</v>
      </c>
      <c r="H67" s="298" t="s">
        <v>530</v>
      </c>
      <c r="I67" s="297">
        <v>124</v>
      </c>
      <c r="J67" s="297" t="s">
        <v>533</v>
      </c>
    </row>
    <row r="68" spans="1:10" ht="15.75" customHeight="1" x14ac:dyDescent="0.2">
      <c r="A68" s="299" t="s">
        <v>1078</v>
      </c>
      <c r="B68" s="297">
        <v>133</v>
      </c>
      <c r="C68" s="298" t="s">
        <v>543</v>
      </c>
      <c r="D68" s="297">
        <v>124</v>
      </c>
      <c r="E68" s="297" t="s">
        <v>536</v>
      </c>
      <c r="F68" s="299" t="s">
        <v>988</v>
      </c>
      <c r="G68" s="297">
        <v>129</v>
      </c>
      <c r="H68" s="298" t="s">
        <v>530</v>
      </c>
      <c r="I68" s="297">
        <v>121</v>
      </c>
      <c r="J68" s="297" t="s">
        <v>538</v>
      </c>
    </row>
    <row r="69" spans="1:10" ht="15.75" customHeight="1" x14ac:dyDescent="0.2">
      <c r="A69" s="299" t="s">
        <v>1076</v>
      </c>
      <c r="B69" s="297">
        <v>129</v>
      </c>
      <c r="C69" s="298" t="s">
        <v>530</v>
      </c>
      <c r="D69" s="297">
        <v>120</v>
      </c>
      <c r="E69" s="297" t="s">
        <v>537</v>
      </c>
      <c r="F69" s="299" t="s">
        <v>985</v>
      </c>
      <c r="G69" s="297">
        <v>128</v>
      </c>
      <c r="H69" s="298" t="s">
        <v>530</v>
      </c>
      <c r="I69" s="297">
        <v>117</v>
      </c>
      <c r="J69" s="297" t="s">
        <v>535</v>
      </c>
    </row>
    <row r="70" spans="1:10" ht="15.75" customHeight="1" x14ac:dyDescent="0.2">
      <c r="A70" s="299" t="s">
        <v>1073</v>
      </c>
      <c r="B70" s="297">
        <v>132</v>
      </c>
      <c r="C70" s="298" t="s">
        <v>540</v>
      </c>
      <c r="D70" s="297">
        <v>123</v>
      </c>
      <c r="E70" s="297" t="s">
        <v>549</v>
      </c>
      <c r="F70" s="299" t="s">
        <v>510</v>
      </c>
      <c r="G70" s="297">
        <v>138</v>
      </c>
      <c r="H70" s="298" t="s">
        <v>530</v>
      </c>
      <c r="I70" s="297">
        <v>113</v>
      </c>
      <c r="J70" s="297" t="s">
        <v>549</v>
      </c>
    </row>
    <row r="71" spans="1:10" ht="15.75" customHeight="1" x14ac:dyDescent="0.2">
      <c r="A71" s="299" t="s">
        <v>1070</v>
      </c>
      <c r="B71" s="297">
        <v>123</v>
      </c>
      <c r="C71" s="298" t="s">
        <v>539</v>
      </c>
      <c r="D71" s="297">
        <v>112</v>
      </c>
      <c r="E71" s="297" t="s">
        <v>526</v>
      </c>
      <c r="F71" s="299" t="s">
        <v>982</v>
      </c>
      <c r="G71" s="297">
        <v>129</v>
      </c>
      <c r="H71" s="298" t="s">
        <v>534</v>
      </c>
      <c r="I71" s="297">
        <v>123</v>
      </c>
      <c r="J71" s="297" t="s">
        <v>526</v>
      </c>
    </row>
    <row r="72" spans="1:10" ht="15.75" customHeight="1" x14ac:dyDescent="0.2">
      <c r="A72" s="299" t="s">
        <v>1067</v>
      </c>
      <c r="B72" s="297">
        <v>133</v>
      </c>
      <c r="C72" s="298" t="s">
        <v>531</v>
      </c>
      <c r="D72" s="297">
        <v>122</v>
      </c>
      <c r="E72" s="297" t="s">
        <v>535</v>
      </c>
      <c r="F72" s="299" t="s">
        <v>980</v>
      </c>
      <c r="G72" s="297">
        <v>129</v>
      </c>
      <c r="H72" s="298" t="s">
        <v>539</v>
      </c>
      <c r="I72" s="297">
        <v>119</v>
      </c>
      <c r="J72" s="297" t="s">
        <v>526</v>
      </c>
    </row>
    <row r="73" spans="1:10" ht="15.75" customHeight="1" x14ac:dyDescent="0.2">
      <c r="A73" s="299" t="s">
        <v>1064</v>
      </c>
      <c r="B73" s="297">
        <v>123</v>
      </c>
      <c r="C73" s="298" t="s">
        <v>1010</v>
      </c>
      <c r="D73" s="297">
        <v>110</v>
      </c>
      <c r="E73" s="297" t="s">
        <v>536</v>
      </c>
      <c r="F73" s="299" t="s">
        <v>978</v>
      </c>
      <c r="G73" s="297">
        <v>127</v>
      </c>
      <c r="H73" s="301">
        <v>0.75</v>
      </c>
      <c r="I73" s="297">
        <v>122</v>
      </c>
      <c r="J73" s="301">
        <v>0.54166666666666663</v>
      </c>
    </row>
    <row r="74" spans="1:10" ht="15.75" customHeight="1" x14ac:dyDescent="0.2">
      <c r="A74" s="299" t="s">
        <v>1061</v>
      </c>
      <c r="B74" s="297">
        <v>130</v>
      </c>
      <c r="C74" s="298" t="s">
        <v>547</v>
      </c>
      <c r="D74" s="297">
        <v>126</v>
      </c>
      <c r="E74" s="297" t="s">
        <v>536</v>
      </c>
      <c r="F74" s="299" t="s">
        <v>976</v>
      </c>
      <c r="G74" s="297">
        <v>134</v>
      </c>
      <c r="H74" s="298" t="s">
        <v>531</v>
      </c>
      <c r="I74" s="297">
        <v>115</v>
      </c>
      <c r="J74" s="297" t="s">
        <v>538</v>
      </c>
    </row>
    <row r="75" spans="1:10" ht="15.75" customHeight="1" x14ac:dyDescent="0.2">
      <c r="A75" s="299" t="s">
        <v>1209</v>
      </c>
      <c r="B75" s="297">
        <v>137</v>
      </c>
      <c r="C75" s="298" t="s">
        <v>540</v>
      </c>
      <c r="D75" s="297">
        <v>132</v>
      </c>
      <c r="E75" s="297" t="s">
        <v>526</v>
      </c>
      <c r="F75" s="299" t="s">
        <v>974</v>
      </c>
      <c r="G75" s="297">
        <v>132</v>
      </c>
      <c r="H75" s="298" t="s">
        <v>539</v>
      </c>
      <c r="I75" s="297">
        <v>125</v>
      </c>
      <c r="J75" s="297" t="s">
        <v>526</v>
      </c>
    </row>
    <row r="76" spans="1:10" ht="15.75" customHeight="1" x14ac:dyDescent="0.2">
      <c r="A76" s="299" t="s">
        <v>1058</v>
      </c>
      <c r="B76" s="297">
        <v>138</v>
      </c>
      <c r="C76" s="298" t="s">
        <v>539</v>
      </c>
      <c r="D76" s="297">
        <v>131</v>
      </c>
      <c r="E76" s="297" t="s">
        <v>526</v>
      </c>
      <c r="F76" s="299" t="s">
        <v>972</v>
      </c>
      <c r="G76" s="297">
        <v>130</v>
      </c>
      <c r="H76" s="298" t="s">
        <v>530</v>
      </c>
      <c r="I76" s="297">
        <v>123</v>
      </c>
      <c r="J76" s="297" t="s">
        <v>537</v>
      </c>
    </row>
    <row r="77" spans="1:10" ht="15.75" customHeight="1" x14ac:dyDescent="0.2">
      <c r="A77" s="299" t="s">
        <v>1055</v>
      </c>
      <c r="B77" s="297">
        <v>121</v>
      </c>
      <c r="C77" s="298" t="s">
        <v>1010</v>
      </c>
      <c r="D77" s="297">
        <v>115</v>
      </c>
      <c r="E77" s="297" t="s">
        <v>535</v>
      </c>
      <c r="F77" s="299" t="s">
        <v>970</v>
      </c>
      <c r="G77" s="297">
        <v>132</v>
      </c>
      <c r="H77" s="298" t="s">
        <v>531</v>
      </c>
      <c r="I77" s="297">
        <v>111</v>
      </c>
      <c r="J77" s="297" t="s">
        <v>535</v>
      </c>
    </row>
    <row r="78" spans="1:10" ht="15.75" customHeight="1" x14ac:dyDescent="0.2">
      <c r="A78" s="299" t="s">
        <v>1052</v>
      </c>
      <c r="B78" s="297">
        <v>134</v>
      </c>
      <c r="C78" s="298" t="s">
        <v>1010</v>
      </c>
      <c r="D78" s="297">
        <v>126</v>
      </c>
      <c r="E78" s="297" t="s">
        <v>526</v>
      </c>
      <c r="F78" s="299" t="s">
        <v>968</v>
      </c>
      <c r="G78" s="297">
        <v>133</v>
      </c>
      <c r="H78" s="298" t="s">
        <v>524</v>
      </c>
      <c r="I78" s="297">
        <v>126</v>
      </c>
      <c r="J78" s="297" t="s">
        <v>538</v>
      </c>
    </row>
    <row r="79" spans="1:10" ht="15.75" customHeight="1" x14ac:dyDescent="0.2">
      <c r="A79" s="299" t="s">
        <v>1049</v>
      </c>
      <c r="B79" s="297">
        <v>138</v>
      </c>
      <c r="C79" s="298" t="s">
        <v>541</v>
      </c>
      <c r="D79" s="297">
        <v>130</v>
      </c>
      <c r="E79" s="297" t="s">
        <v>526</v>
      </c>
      <c r="F79" s="299" t="s">
        <v>966</v>
      </c>
      <c r="G79" s="297">
        <v>130</v>
      </c>
      <c r="H79" s="298" t="s">
        <v>547</v>
      </c>
      <c r="I79" s="297">
        <v>126</v>
      </c>
      <c r="J79" s="297" t="s">
        <v>541</v>
      </c>
    </row>
    <row r="80" spans="1:10" ht="15.75" customHeight="1" x14ac:dyDescent="0.2">
      <c r="A80" s="299" t="s">
        <v>1208</v>
      </c>
      <c r="B80" s="297">
        <v>137</v>
      </c>
      <c r="C80" s="298" t="s">
        <v>533</v>
      </c>
      <c r="D80" s="297">
        <v>130</v>
      </c>
      <c r="E80" s="297" t="s">
        <v>526</v>
      </c>
      <c r="F80" s="299" t="s">
        <v>964</v>
      </c>
      <c r="G80" s="297">
        <v>128</v>
      </c>
      <c r="H80" s="298" t="s">
        <v>538</v>
      </c>
      <c r="I80" s="297">
        <v>117</v>
      </c>
      <c r="J80" s="297" t="s">
        <v>526</v>
      </c>
    </row>
    <row r="81" spans="1:10" ht="15.75" customHeight="1" x14ac:dyDescent="0.2">
      <c r="A81" s="299" t="s">
        <v>1043</v>
      </c>
      <c r="B81" s="297">
        <v>137</v>
      </c>
      <c r="C81" s="298" t="s">
        <v>531</v>
      </c>
      <c r="D81" s="297">
        <v>119</v>
      </c>
      <c r="E81" s="297" t="s">
        <v>549</v>
      </c>
      <c r="F81" s="299" t="s">
        <v>960</v>
      </c>
      <c r="G81" s="297">
        <v>134</v>
      </c>
      <c r="H81" s="298" t="s">
        <v>539</v>
      </c>
      <c r="I81" s="297">
        <v>127</v>
      </c>
      <c r="J81" s="297" t="s">
        <v>526</v>
      </c>
    </row>
    <row r="82" spans="1:10" ht="15.75" customHeight="1" x14ac:dyDescent="0.2">
      <c r="A82" s="299" t="s">
        <v>1040</v>
      </c>
      <c r="B82" s="297">
        <v>128</v>
      </c>
      <c r="C82" s="298" t="s">
        <v>542</v>
      </c>
      <c r="D82" s="297">
        <v>121</v>
      </c>
      <c r="E82" s="297" t="s">
        <v>535</v>
      </c>
      <c r="F82" s="299" t="s">
        <v>958</v>
      </c>
      <c r="G82" s="297">
        <v>129</v>
      </c>
      <c r="H82" s="298" t="s">
        <v>549</v>
      </c>
      <c r="I82" s="297">
        <v>122</v>
      </c>
      <c r="J82" s="297" t="s">
        <v>536</v>
      </c>
    </row>
    <row r="83" spans="1:10" ht="15.75" customHeight="1" x14ac:dyDescent="0.2">
      <c r="A83" s="299" t="s">
        <v>1037</v>
      </c>
      <c r="B83" s="297">
        <v>130</v>
      </c>
      <c r="C83" s="298" t="s">
        <v>530</v>
      </c>
      <c r="D83" s="297">
        <v>121</v>
      </c>
      <c r="E83" s="297" t="s">
        <v>536</v>
      </c>
      <c r="F83" s="299" t="s">
        <v>956</v>
      </c>
      <c r="G83" s="297">
        <v>139</v>
      </c>
      <c r="H83" s="298" t="s">
        <v>543</v>
      </c>
      <c r="I83" s="297">
        <v>120</v>
      </c>
      <c r="J83" s="297" t="s">
        <v>526</v>
      </c>
    </row>
    <row r="84" spans="1:10" ht="15.75" customHeight="1" x14ac:dyDescent="0.2">
      <c r="A84" s="299" t="s">
        <v>1034</v>
      </c>
      <c r="B84" s="297">
        <v>135</v>
      </c>
      <c r="C84" s="298" t="s">
        <v>1010</v>
      </c>
      <c r="D84" s="297">
        <v>116</v>
      </c>
      <c r="E84" s="297" t="s">
        <v>548</v>
      </c>
      <c r="F84" s="299" t="s">
        <v>1130</v>
      </c>
      <c r="G84" s="297">
        <v>134</v>
      </c>
      <c r="H84" s="298" t="s">
        <v>546</v>
      </c>
      <c r="I84" s="297">
        <v>128</v>
      </c>
      <c r="J84" s="297" t="s">
        <v>527</v>
      </c>
    </row>
    <row r="85" spans="1:10" ht="15.75" customHeight="1" x14ac:dyDescent="0.2">
      <c r="A85" s="299" t="s">
        <v>1031</v>
      </c>
      <c r="B85" s="297">
        <v>133</v>
      </c>
      <c r="C85" s="298" t="s">
        <v>547</v>
      </c>
      <c r="D85" s="297">
        <v>126</v>
      </c>
      <c r="E85" s="297" t="s">
        <v>537</v>
      </c>
      <c r="F85" s="299" t="s">
        <v>1127</v>
      </c>
      <c r="G85" s="297">
        <v>135</v>
      </c>
      <c r="H85" s="298" t="s">
        <v>530</v>
      </c>
      <c r="I85" s="297">
        <v>132</v>
      </c>
      <c r="J85" s="297" t="s">
        <v>548</v>
      </c>
    </row>
    <row r="86" spans="1:10" ht="15" customHeight="1" x14ac:dyDescent="0.2">
      <c r="A86" s="299" t="s">
        <v>1028</v>
      </c>
      <c r="B86" s="297">
        <v>128</v>
      </c>
      <c r="C86" s="298" t="s">
        <v>528</v>
      </c>
      <c r="D86" s="297">
        <v>122</v>
      </c>
      <c r="E86" s="297" t="s">
        <v>526</v>
      </c>
      <c r="F86" s="299" t="s">
        <v>962</v>
      </c>
      <c r="G86" s="297">
        <v>129</v>
      </c>
      <c r="H86" s="298" t="s">
        <v>1010</v>
      </c>
      <c r="I86" s="297">
        <v>116</v>
      </c>
      <c r="J86" s="297" t="s">
        <v>541</v>
      </c>
    </row>
    <row r="87" spans="1:10" ht="15.75" customHeight="1" x14ac:dyDescent="0.2">
      <c r="A87" s="300" t="s">
        <v>1207</v>
      </c>
      <c r="B87" s="300" t="s">
        <v>1206</v>
      </c>
      <c r="C87" s="300"/>
      <c r="D87" s="300" t="s">
        <v>1206</v>
      </c>
      <c r="E87" s="300"/>
      <c r="F87" s="300" t="s">
        <v>1207</v>
      </c>
      <c r="G87" s="300" t="s">
        <v>1206</v>
      </c>
      <c r="H87" s="300"/>
      <c r="I87" s="300" t="s">
        <v>1206</v>
      </c>
      <c r="J87" s="300"/>
    </row>
    <row r="88" spans="1:10" ht="15" customHeight="1" x14ac:dyDescent="0.2">
      <c r="A88" s="299" t="s">
        <v>1025</v>
      </c>
      <c r="B88" s="297">
        <v>130</v>
      </c>
      <c r="C88" s="298" t="s">
        <v>530</v>
      </c>
      <c r="D88" s="297">
        <v>121</v>
      </c>
      <c r="E88" s="297" t="s">
        <v>537</v>
      </c>
      <c r="F88" s="299" t="s">
        <v>1124</v>
      </c>
      <c r="G88" s="297">
        <v>131</v>
      </c>
      <c r="H88" s="298" t="s">
        <v>530</v>
      </c>
      <c r="I88" s="297">
        <v>122</v>
      </c>
      <c r="J88" s="297" t="s">
        <v>537</v>
      </c>
    </row>
    <row r="89" spans="1:10" ht="15" customHeight="1" x14ac:dyDescent="0.2">
      <c r="A89" s="299" t="s">
        <v>1022</v>
      </c>
      <c r="B89" s="297">
        <v>128</v>
      </c>
      <c r="C89" s="298" t="s">
        <v>1010</v>
      </c>
      <c r="D89" s="297">
        <v>116</v>
      </c>
      <c r="E89" s="297" t="s">
        <v>537</v>
      </c>
      <c r="F89" s="299" t="s">
        <v>1121</v>
      </c>
      <c r="G89" s="297">
        <v>133</v>
      </c>
      <c r="H89" s="298" t="s">
        <v>543</v>
      </c>
      <c r="I89" s="297">
        <v>124</v>
      </c>
      <c r="J89" s="297" t="s">
        <v>549</v>
      </c>
    </row>
    <row r="90" spans="1:10" ht="15" customHeight="1" x14ac:dyDescent="0.2">
      <c r="A90" s="299" t="s">
        <v>1019</v>
      </c>
      <c r="B90" s="297">
        <v>130</v>
      </c>
      <c r="C90" s="298" t="s">
        <v>530</v>
      </c>
      <c r="D90" s="297">
        <v>122</v>
      </c>
      <c r="E90" s="297" t="s">
        <v>549</v>
      </c>
      <c r="F90" s="299" t="s">
        <v>1118</v>
      </c>
      <c r="G90" s="297">
        <v>132</v>
      </c>
      <c r="H90" s="298" t="s">
        <v>524</v>
      </c>
      <c r="I90" s="297">
        <v>119</v>
      </c>
      <c r="J90" s="297" t="s">
        <v>536</v>
      </c>
    </row>
    <row r="91" spans="1:10" ht="15" customHeight="1" x14ac:dyDescent="0.2">
      <c r="A91" s="299" t="s">
        <v>1017</v>
      </c>
      <c r="B91" s="297">
        <v>126</v>
      </c>
      <c r="C91" s="298" t="s">
        <v>1010</v>
      </c>
      <c r="D91" s="297">
        <v>109</v>
      </c>
      <c r="E91" s="297" t="s">
        <v>534</v>
      </c>
      <c r="F91" s="299" t="s">
        <v>1115</v>
      </c>
      <c r="G91" s="297">
        <v>132</v>
      </c>
      <c r="H91" s="298" t="s">
        <v>1010</v>
      </c>
      <c r="I91" s="297">
        <v>128</v>
      </c>
      <c r="J91" s="297" t="s">
        <v>526</v>
      </c>
    </row>
    <row r="92" spans="1:10" ht="15" customHeight="1" x14ac:dyDescent="0.2">
      <c r="A92" s="299" t="s">
        <v>1014</v>
      </c>
      <c r="B92" s="297">
        <v>128</v>
      </c>
      <c r="C92" s="298" t="s">
        <v>539</v>
      </c>
      <c r="D92" s="297">
        <v>115</v>
      </c>
      <c r="E92" s="297" t="s">
        <v>526</v>
      </c>
      <c r="F92" s="299" t="s">
        <v>1205</v>
      </c>
      <c r="G92" s="297">
        <v>132</v>
      </c>
      <c r="H92" s="298" t="s">
        <v>548</v>
      </c>
      <c r="I92" s="297">
        <v>128</v>
      </c>
      <c r="J92" s="297" t="s">
        <v>526</v>
      </c>
    </row>
    <row r="93" spans="1:10" ht="15" customHeight="1" x14ac:dyDescent="0.2">
      <c r="A93" s="299" t="s">
        <v>1011</v>
      </c>
      <c r="B93" s="297">
        <v>119</v>
      </c>
      <c r="C93" s="298" t="s">
        <v>542</v>
      </c>
      <c r="D93" s="297">
        <v>109</v>
      </c>
      <c r="E93" s="297" t="s">
        <v>527</v>
      </c>
      <c r="F93" s="299" t="s">
        <v>1112</v>
      </c>
      <c r="G93" s="297">
        <v>129</v>
      </c>
      <c r="H93" s="298" t="s">
        <v>530</v>
      </c>
      <c r="I93" s="297">
        <v>123</v>
      </c>
      <c r="J93" s="297" t="s">
        <v>537</v>
      </c>
    </row>
    <row r="94" spans="1:10" ht="15" customHeight="1" x14ac:dyDescent="0.2">
      <c r="A94" s="299" t="s">
        <v>1007</v>
      </c>
      <c r="B94" s="297">
        <v>130</v>
      </c>
      <c r="C94" s="298" t="s">
        <v>530</v>
      </c>
      <c r="D94" s="297">
        <v>121</v>
      </c>
      <c r="E94" s="297" t="s">
        <v>536</v>
      </c>
      <c r="F94" s="299" t="s">
        <v>1109</v>
      </c>
      <c r="G94" s="297">
        <v>130</v>
      </c>
      <c r="H94" s="298" t="s">
        <v>540</v>
      </c>
      <c r="I94" s="297">
        <v>123</v>
      </c>
      <c r="J94" s="297" t="s">
        <v>549</v>
      </c>
    </row>
    <row r="95" spans="1:10" ht="15" customHeight="1" x14ac:dyDescent="0.2">
      <c r="A95" s="299" t="s">
        <v>1004</v>
      </c>
      <c r="B95" s="297">
        <v>132</v>
      </c>
      <c r="C95" s="298" t="s">
        <v>530</v>
      </c>
      <c r="D95" s="297">
        <v>119</v>
      </c>
      <c r="E95" s="297" t="s">
        <v>541</v>
      </c>
      <c r="F95" s="299" t="s">
        <v>1106</v>
      </c>
      <c r="G95" s="297">
        <v>133</v>
      </c>
      <c r="H95" s="298" t="s">
        <v>531</v>
      </c>
      <c r="I95" s="297">
        <v>118</v>
      </c>
      <c r="J95" s="297" t="s">
        <v>535</v>
      </c>
    </row>
    <row r="96" spans="1:10" ht="15" customHeight="1" x14ac:dyDescent="0.2">
      <c r="A96" s="299" t="s">
        <v>1000</v>
      </c>
      <c r="B96" s="297">
        <v>127</v>
      </c>
      <c r="C96" s="298" t="s">
        <v>530</v>
      </c>
      <c r="D96" s="297">
        <v>116</v>
      </c>
      <c r="E96" s="297" t="s">
        <v>535</v>
      </c>
      <c r="F96" s="299" t="s">
        <v>514</v>
      </c>
      <c r="G96" s="297">
        <v>133</v>
      </c>
      <c r="H96" s="298" t="s">
        <v>539</v>
      </c>
      <c r="I96" s="297">
        <v>126</v>
      </c>
      <c r="J96" s="297" t="s">
        <v>526</v>
      </c>
    </row>
    <row r="97" spans="1:10" ht="15" customHeight="1" x14ac:dyDescent="0.2">
      <c r="A97" s="299" t="s">
        <v>507</v>
      </c>
      <c r="B97" s="297">
        <v>134</v>
      </c>
      <c r="C97" s="298" t="s">
        <v>543</v>
      </c>
      <c r="D97" s="297">
        <v>126</v>
      </c>
      <c r="E97" s="297" t="s">
        <v>549</v>
      </c>
      <c r="F97" s="299" t="s">
        <v>1101</v>
      </c>
      <c r="G97" s="297">
        <v>133</v>
      </c>
      <c r="H97" s="298" t="s">
        <v>540</v>
      </c>
      <c r="I97" s="297">
        <v>113</v>
      </c>
      <c r="J97" s="297" t="s">
        <v>535</v>
      </c>
    </row>
    <row r="98" spans="1:10" ht="15" customHeight="1" x14ac:dyDescent="0.2">
      <c r="A98" s="299" t="s">
        <v>995</v>
      </c>
      <c r="B98" s="297">
        <v>134</v>
      </c>
      <c r="C98" s="298" t="s">
        <v>530</v>
      </c>
      <c r="D98" s="297">
        <v>126</v>
      </c>
      <c r="E98" s="297" t="s">
        <v>539</v>
      </c>
      <c r="F98" s="299" t="s">
        <v>1098</v>
      </c>
      <c r="G98" s="297">
        <v>130</v>
      </c>
      <c r="H98" s="298" t="s">
        <v>1010</v>
      </c>
      <c r="I98" s="297">
        <v>108</v>
      </c>
      <c r="J98" s="297" t="s">
        <v>541</v>
      </c>
    </row>
    <row r="99" spans="1:10" ht="15" customHeight="1" x14ac:dyDescent="0.2">
      <c r="A99" s="299" t="s">
        <v>992</v>
      </c>
      <c r="B99" s="297">
        <v>134</v>
      </c>
      <c r="C99" s="298" t="s">
        <v>543</v>
      </c>
      <c r="D99" s="297">
        <v>125</v>
      </c>
      <c r="E99" s="297" t="s">
        <v>535</v>
      </c>
      <c r="F99" s="299" t="s">
        <v>1095</v>
      </c>
      <c r="G99" s="297">
        <v>135</v>
      </c>
      <c r="H99" s="298" t="s">
        <v>546</v>
      </c>
      <c r="I99" s="297">
        <v>127</v>
      </c>
      <c r="J99" s="297" t="s">
        <v>540</v>
      </c>
    </row>
    <row r="100" spans="1:10" ht="15" customHeight="1" x14ac:dyDescent="0.2">
      <c r="A100" s="299" t="s">
        <v>989</v>
      </c>
      <c r="B100" s="297">
        <v>131</v>
      </c>
      <c r="C100" s="298" t="s">
        <v>531</v>
      </c>
      <c r="D100" s="297">
        <v>123</v>
      </c>
      <c r="E100" s="297" t="s">
        <v>540</v>
      </c>
      <c r="F100" s="299" t="s">
        <v>1204</v>
      </c>
      <c r="G100" s="297">
        <v>134</v>
      </c>
      <c r="H100" s="298" t="s">
        <v>543</v>
      </c>
      <c r="I100" s="297">
        <v>124</v>
      </c>
      <c r="J100" s="297" t="s">
        <v>535</v>
      </c>
    </row>
    <row r="101" spans="1:10" ht="15" customHeight="1" x14ac:dyDescent="0.2">
      <c r="A101" s="299" t="s">
        <v>986</v>
      </c>
      <c r="B101" s="297">
        <v>132</v>
      </c>
      <c r="C101" s="298" t="s">
        <v>1010</v>
      </c>
      <c r="D101" s="297">
        <v>125</v>
      </c>
      <c r="E101" s="297" t="s">
        <v>549</v>
      </c>
      <c r="F101" s="299" t="s">
        <v>1092</v>
      </c>
      <c r="G101" s="297">
        <v>133</v>
      </c>
      <c r="H101" s="298" t="s">
        <v>530</v>
      </c>
      <c r="I101" s="297">
        <v>125</v>
      </c>
      <c r="J101" s="297" t="s">
        <v>541</v>
      </c>
    </row>
    <row r="102" spans="1:10" ht="15" customHeight="1" x14ac:dyDescent="0.2">
      <c r="A102" s="299" t="s">
        <v>984</v>
      </c>
      <c r="B102" s="297">
        <v>131</v>
      </c>
      <c r="C102" s="298" t="s">
        <v>537</v>
      </c>
      <c r="D102" s="297">
        <v>123</v>
      </c>
      <c r="E102" s="297" t="s">
        <v>539</v>
      </c>
      <c r="F102" s="299" t="s">
        <v>515</v>
      </c>
      <c r="G102" s="297">
        <v>135</v>
      </c>
      <c r="H102" s="298" t="s">
        <v>524</v>
      </c>
      <c r="I102" s="297">
        <v>123</v>
      </c>
      <c r="J102" s="297" t="s">
        <v>542</v>
      </c>
    </row>
    <row r="103" spans="1:10" ht="15" customHeight="1" x14ac:dyDescent="0.2">
      <c r="A103" s="299" t="s">
        <v>983</v>
      </c>
      <c r="B103" s="297">
        <v>136</v>
      </c>
      <c r="C103" s="298" t="s">
        <v>531</v>
      </c>
      <c r="D103" s="297">
        <v>129</v>
      </c>
      <c r="E103" s="297" t="s">
        <v>549</v>
      </c>
      <c r="F103" s="299" t="s">
        <v>1088</v>
      </c>
      <c r="G103" s="297">
        <v>137</v>
      </c>
      <c r="H103" s="298" t="s">
        <v>540</v>
      </c>
      <c r="I103" s="297">
        <v>130</v>
      </c>
      <c r="J103" s="297" t="s">
        <v>526</v>
      </c>
    </row>
    <row r="104" spans="1:10" ht="15" customHeight="1" x14ac:dyDescent="0.2">
      <c r="A104" s="299" t="s">
        <v>981</v>
      </c>
      <c r="B104" s="297">
        <v>128</v>
      </c>
      <c r="C104" s="298" t="s">
        <v>1010</v>
      </c>
      <c r="D104" s="297">
        <v>114</v>
      </c>
      <c r="E104" s="297" t="s">
        <v>536</v>
      </c>
      <c r="F104" s="299" t="s">
        <v>1082</v>
      </c>
      <c r="G104" s="297">
        <v>135</v>
      </c>
      <c r="H104" s="298" t="s">
        <v>524</v>
      </c>
      <c r="I104" s="297">
        <v>123</v>
      </c>
      <c r="J104" s="297" t="s">
        <v>536</v>
      </c>
    </row>
    <row r="105" spans="1:10" ht="15" customHeight="1" x14ac:dyDescent="0.2">
      <c r="A105" s="299" t="s">
        <v>977</v>
      </c>
      <c r="B105" s="297">
        <v>135</v>
      </c>
      <c r="C105" s="298" t="s">
        <v>530</v>
      </c>
      <c r="D105" s="297">
        <v>122</v>
      </c>
      <c r="E105" s="297" t="s">
        <v>548</v>
      </c>
      <c r="F105" s="299" t="s">
        <v>1079</v>
      </c>
      <c r="G105" s="297">
        <v>124</v>
      </c>
      <c r="H105" s="298" t="s">
        <v>539</v>
      </c>
      <c r="I105" s="297">
        <v>112</v>
      </c>
      <c r="J105" s="297" t="s">
        <v>549</v>
      </c>
    </row>
    <row r="106" spans="1:10" ht="15" customHeight="1" x14ac:dyDescent="0.2">
      <c r="A106" s="299" t="s">
        <v>975</v>
      </c>
      <c r="B106" s="297">
        <v>135</v>
      </c>
      <c r="C106" s="298" t="s">
        <v>531</v>
      </c>
      <c r="D106" s="297">
        <v>129</v>
      </c>
      <c r="E106" s="297" t="s">
        <v>549</v>
      </c>
      <c r="F106" s="299" t="s">
        <v>1077</v>
      </c>
      <c r="G106" s="297">
        <v>127</v>
      </c>
      <c r="H106" s="298" t="s">
        <v>542</v>
      </c>
      <c r="I106" s="297">
        <v>122</v>
      </c>
      <c r="J106" s="297" t="s">
        <v>549</v>
      </c>
    </row>
    <row r="107" spans="1:10" ht="15" customHeight="1" x14ac:dyDescent="0.2">
      <c r="A107" s="299" t="s">
        <v>971</v>
      </c>
      <c r="B107" s="297">
        <v>131</v>
      </c>
      <c r="C107" s="298" t="s">
        <v>539</v>
      </c>
      <c r="D107" s="297">
        <v>121</v>
      </c>
      <c r="E107" s="297" t="s">
        <v>549</v>
      </c>
      <c r="F107" s="299" t="s">
        <v>1074</v>
      </c>
      <c r="G107" s="297">
        <v>126</v>
      </c>
      <c r="H107" s="298" t="s">
        <v>530</v>
      </c>
      <c r="I107" s="297">
        <v>120</v>
      </c>
      <c r="J107" s="297" t="s">
        <v>549</v>
      </c>
    </row>
    <row r="108" spans="1:10" ht="15" customHeight="1" x14ac:dyDescent="0.2">
      <c r="A108" s="299" t="s">
        <v>969</v>
      </c>
      <c r="B108" s="297">
        <v>131</v>
      </c>
      <c r="C108" s="298" t="s">
        <v>539</v>
      </c>
      <c r="D108" s="297">
        <v>121</v>
      </c>
      <c r="E108" s="297" t="s">
        <v>547</v>
      </c>
      <c r="F108" s="299" t="s">
        <v>1071</v>
      </c>
      <c r="G108" s="297">
        <v>134</v>
      </c>
      <c r="H108" s="298" t="s">
        <v>531</v>
      </c>
      <c r="I108" s="297">
        <v>127</v>
      </c>
      <c r="J108" s="297" t="s">
        <v>539</v>
      </c>
    </row>
    <row r="109" spans="1:10" ht="15" customHeight="1" x14ac:dyDescent="0.2">
      <c r="A109" s="299" t="s">
        <v>967</v>
      </c>
      <c r="B109" s="297">
        <v>131</v>
      </c>
      <c r="C109" s="298" t="s">
        <v>530</v>
      </c>
      <c r="D109" s="297">
        <v>122</v>
      </c>
      <c r="E109" s="297" t="s">
        <v>548</v>
      </c>
      <c r="F109" s="299" t="s">
        <v>1068</v>
      </c>
      <c r="G109" s="297">
        <v>130</v>
      </c>
      <c r="H109" s="298" t="s">
        <v>530</v>
      </c>
      <c r="I109" s="297">
        <v>121</v>
      </c>
      <c r="J109" s="297" t="s">
        <v>537</v>
      </c>
    </row>
    <row r="110" spans="1:10" ht="15" customHeight="1" x14ac:dyDescent="0.2">
      <c r="A110" s="299" t="s">
        <v>1203</v>
      </c>
      <c r="B110" s="297">
        <v>134</v>
      </c>
      <c r="C110" s="298" t="s">
        <v>530</v>
      </c>
      <c r="D110" s="297">
        <v>128</v>
      </c>
      <c r="E110" s="297" t="s">
        <v>549</v>
      </c>
      <c r="F110" s="299" t="s">
        <v>1065</v>
      </c>
      <c r="G110" s="297">
        <v>137</v>
      </c>
      <c r="H110" s="298" t="s">
        <v>540</v>
      </c>
      <c r="I110" s="297">
        <v>130</v>
      </c>
      <c r="J110" s="297" t="s">
        <v>526</v>
      </c>
    </row>
    <row r="111" spans="1:10" ht="15" customHeight="1" x14ac:dyDescent="0.2">
      <c r="A111" s="299" t="s">
        <v>965</v>
      </c>
      <c r="B111" s="297">
        <v>134</v>
      </c>
      <c r="C111" s="298" t="s">
        <v>543</v>
      </c>
      <c r="D111" s="297">
        <v>125</v>
      </c>
      <c r="E111" s="297" t="s">
        <v>535</v>
      </c>
      <c r="F111" s="299" t="s">
        <v>1062</v>
      </c>
      <c r="G111" s="297">
        <v>134</v>
      </c>
      <c r="H111" s="298" t="s">
        <v>532</v>
      </c>
      <c r="I111" s="297">
        <v>121</v>
      </c>
      <c r="J111" s="297" t="s">
        <v>549</v>
      </c>
    </row>
    <row r="112" spans="1:10" ht="15" customHeight="1" x14ac:dyDescent="0.2">
      <c r="A112" s="299" t="s">
        <v>963</v>
      </c>
      <c r="B112" s="297">
        <v>138</v>
      </c>
      <c r="C112" s="298" t="s">
        <v>547</v>
      </c>
      <c r="D112" s="297">
        <v>126</v>
      </c>
      <c r="E112" s="297" t="s">
        <v>539</v>
      </c>
      <c r="F112" s="299" t="s">
        <v>1059</v>
      </c>
      <c r="G112" s="297">
        <v>138</v>
      </c>
      <c r="H112" s="298" t="s">
        <v>547</v>
      </c>
      <c r="I112" s="297">
        <v>129</v>
      </c>
      <c r="J112" s="297" t="s">
        <v>541</v>
      </c>
    </row>
    <row r="113" spans="1:10" ht="15" customHeight="1" x14ac:dyDescent="0.2">
      <c r="A113" s="299" t="s">
        <v>1202</v>
      </c>
      <c r="B113" s="297">
        <v>130</v>
      </c>
      <c r="C113" s="298" t="s">
        <v>530</v>
      </c>
      <c r="D113" s="297">
        <v>123</v>
      </c>
      <c r="E113" s="297" t="s">
        <v>538</v>
      </c>
      <c r="F113" s="299" t="s">
        <v>1056</v>
      </c>
      <c r="G113" s="297">
        <v>130</v>
      </c>
      <c r="H113" s="298" t="s">
        <v>1010</v>
      </c>
      <c r="I113" s="297">
        <v>123</v>
      </c>
      <c r="J113" s="297" t="s">
        <v>549</v>
      </c>
    </row>
    <row r="114" spans="1:10" ht="15" customHeight="1" x14ac:dyDescent="0.2">
      <c r="A114" s="299" t="s">
        <v>961</v>
      </c>
      <c r="B114" s="297">
        <v>130</v>
      </c>
      <c r="C114" s="298" t="s">
        <v>530</v>
      </c>
      <c r="D114" s="297">
        <v>121</v>
      </c>
      <c r="E114" s="297" t="s">
        <v>540</v>
      </c>
      <c r="F114" s="299" t="s">
        <v>1053</v>
      </c>
      <c r="G114" s="297">
        <v>140</v>
      </c>
      <c r="H114" s="298" t="s">
        <v>530</v>
      </c>
      <c r="I114" s="297">
        <v>119</v>
      </c>
      <c r="J114" s="297" t="s">
        <v>533</v>
      </c>
    </row>
    <row r="115" spans="1:10" ht="15" customHeight="1" x14ac:dyDescent="0.2">
      <c r="A115" s="299" t="s">
        <v>959</v>
      </c>
      <c r="B115" s="297">
        <v>128</v>
      </c>
      <c r="C115" s="298" t="s">
        <v>543</v>
      </c>
      <c r="D115" s="297">
        <v>122</v>
      </c>
      <c r="E115" s="297" t="s">
        <v>537</v>
      </c>
      <c r="F115" s="299" t="s">
        <v>1050</v>
      </c>
      <c r="G115" s="297">
        <v>125</v>
      </c>
      <c r="H115" s="298" t="s">
        <v>548</v>
      </c>
      <c r="I115" s="297">
        <v>117</v>
      </c>
      <c r="J115" s="297" t="s">
        <v>527</v>
      </c>
    </row>
    <row r="116" spans="1:10" ht="15" customHeight="1" x14ac:dyDescent="0.2">
      <c r="A116" s="299" t="s">
        <v>957</v>
      </c>
      <c r="B116" s="297">
        <v>137</v>
      </c>
      <c r="C116" s="298" t="s">
        <v>530</v>
      </c>
      <c r="D116" s="297">
        <v>131</v>
      </c>
      <c r="E116" s="297" t="s">
        <v>539</v>
      </c>
      <c r="F116" s="299" t="s">
        <v>1201</v>
      </c>
      <c r="G116" s="297">
        <v>138</v>
      </c>
      <c r="H116" s="298" t="s">
        <v>547</v>
      </c>
      <c r="I116" s="297">
        <v>130</v>
      </c>
      <c r="J116" s="297" t="s">
        <v>540</v>
      </c>
    </row>
    <row r="117" spans="1:10" ht="15" customHeight="1" x14ac:dyDescent="0.2">
      <c r="A117" s="299" t="s">
        <v>1131</v>
      </c>
      <c r="B117" s="297">
        <v>138</v>
      </c>
      <c r="C117" s="298" t="s">
        <v>540</v>
      </c>
      <c r="D117" s="297">
        <v>131</v>
      </c>
      <c r="E117" s="297" t="s">
        <v>526</v>
      </c>
      <c r="F117" s="299" t="s">
        <v>1047</v>
      </c>
      <c r="G117" s="297">
        <v>129</v>
      </c>
      <c r="H117" s="298" t="s">
        <v>530</v>
      </c>
      <c r="I117" s="297">
        <v>121</v>
      </c>
      <c r="J117" s="297" t="s">
        <v>537</v>
      </c>
    </row>
    <row r="118" spans="1:10" ht="15" customHeight="1" x14ac:dyDescent="0.2">
      <c r="A118" s="299" t="s">
        <v>1128</v>
      </c>
      <c r="B118" s="297">
        <v>131</v>
      </c>
      <c r="C118" s="298" t="s">
        <v>548</v>
      </c>
      <c r="D118" s="297">
        <v>119</v>
      </c>
      <c r="E118" s="297" t="s">
        <v>536</v>
      </c>
      <c r="F118" s="299" t="s">
        <v>1044</v>
      </c>
      <c r="G118" s="297">
        <v>136</v>
      </c>
      <c r="H118" s="298" t="s">
        <v>547</v>
      </c>
      <c r="I118" s="297">
        <v>125</v>
      </c>
      <c r="J118" s="297" t="s">
        <v>539</v>
      </c>
    </row>
    <row r="119" spans="1:10" ht="15" customHeight="1" x14ac:dyDescent="0.2">
      <c r="A119" s="299" t="s">
        <v>1125</v>
      </c>
      <c r="B119" s="297">
        <v>141</v>
      </c>
      <c r="C119" s="298" t="s">
        <v>530</v>
      </c>
      <c r="D119" s="297">
        <v>123</v>
      </c>
      <c r="E119" s="297" t="s">
        <v>529</v>
      </c>
      <c r="F119" s="299" t="s">
        <v>1041</v>
      </c>
      <c r="G119" s="297">
        <v>131</v>
      </c>
      <c r="H119" s="298" t="s">
        <v>530</v>
      </c>
      <c r="I119" s="297">
        <v>122</v>
      </c>
      <c r="J119" s="297" t="s">
        <v>537</v>
      </c>
    </row>
    <row r="120" spans="1:10" ht="15" customHeight="1" x14ac:dyDescent="0.2">
      <c r="A120" s="299" t="s">
        <v>1122</v>
      </c>
      <c r="B120" s="297">
        <v>128</v>
      </c>
      <c r="C120" s="298" t="s">
        <v>539</v>
      </c>
      <c r="D120" s="297">
        <v>113</v>
      </c>
      <c r="E120" s="297" t="s">
        <v>549</v>
      </c>
      <c r="F120" s="299" t="s">
        <v>1200</v>
      </c>
      <c r="G120" s="297">
        <v>129</v>
      </c>
      <c r="H120" s="298" t="s">
        <v>530</v>
      </c>
      <c r="I120" s="297">
        <v>122</v>
      </c>
      <c r="J120" s="297" t="s">
        <v>537</v>
      </c>
    </row>
    <row r="121" spans="1:10" ht="15" customHeight="1" x14ac:dyDescent="0.2">
      <c r="A121" s="299" t="s">
        <v>1119</v>
      </c>
      <c r="B121" s="297">
        <v>131</v>
      </c>
      <c r="C121" s="298" t="s">
        <v>539</v>
      </c>
      <c r="D121" s="297">
        <v>121</v>
      </c>
      <c r="E121" s="297" t="s">
        <v>526</v>
      </c>
      <c r="F121" s="299" t="s">
        <v>1038</v>
      </c>
      <c r="G121" s="297">
        <v>129</v>
      </c>
      <c r="H121" s="298" t="s">
        <v>530</v>
      </c>
      <c r="I121" s="297">
        <v>123</v>
      </c>
      <c r="J121" s="297" t="s">
        <v>538</v>
      </c>
    </row>
    <row r="122" spans="1:10" ht="15" customHeight="1" x14ac:dyDescent="0.2">
      <c r="A122" s="299" t="s">
        <v>1199</v>
      </c>
      <c r="B122" s="297">
        <v>130</v>
      </c>
      <c r="C122" s="298" t="s">
        <v>539</v>
      </c>
      <c r="D122" s="297">
        <v>122</v>
      </c>
      <c r="E122" s="297" t="s">
        <v>526</v>
      </c>
      <c r="F122" s="299" t="s">
        <v>1035</v>
      </c>
      <c r="G122" s="297">
        <v>133</v>
      </c>
      <c r="H122" s="298" t="s">
        <v>1010</v>
      </c>
      <c r="I122" s="297">
        <v>125</v>
      </c>
      <c r="J122" s="297" t="s">
        <v>526</v>
      </c>
    </row>
    <row r="123" spans="1:10" ht="15" customHeight="1" x14ac:dyDescent="0.2">
      <c r="A123" s="299" t="s">
        <v>1116</v>
      </c>
      <c r="B123" s="297">
        <v>132</v>
      </c>
      <c r="C123" s="298" t="s">
        <v>531</v>
      </c>
      <c r="D123" s="297">
        <v>120</v>
      </c>
      <c r="E123" s="297" t="s">
        <v>536</v>
      </c>
      <c r="F123" s="299" t="s">
        <v>1032</v>
      </c>
      <c r="G123" s="297">
        <v>129</v>
      </c>
      <c r="H123" s="298" t="s">
        <v>530</v>
      </c>
      <c r="I123" s="297">
        <v>121</v>
      </c>
      <c r="J123" s="297" t="s">
        <v>539</v>
      </c>
    </row>
    <row r="124" spans="1:10" ht="15" customHeight="1" x14ac:dyDescent="0.2">
      <c r="A124" s="299" t="s">
        <v>1113</v>
      </c>
      <c r="B124" s="297">
        <v>126</v>
      </c>
      <c r="C124" s="298" t="s">
        <v>527</v>
      </c>
      <c r="D124" s="297">
        <v>118</v>
      </c>
      <c r="E124" s="297" t="s">
        <v>536</v>
      </c>
      <c r="F124" s="299" t="s">
        <v>1029</v>
      </c>
      <c r="G124" s="297">
        <v>136</v>
      </c>
      <c r="H124" s="298" t="s">
        <v>531</v>
      </c>
      <c r="I124" s="297">
        <v>122</v>
      </c>
      <c r="J124" s="297" t="s">
        <v>549</v>
      </c>
    </row>
    <row r="125" spans="1:10" ht="15" customHeight="1" x14ac:dyDescent="0.2">
      <c r="A125" s="299" t="s">
        <v>1110</v>
      </c>
      <c r="B125" s="297">
        <v>136</v>
      </c>
      <c r="C125" s="298" t="s">
        <v>549</v>
      </c>
      <c r="D125" s="297">
        <v>129</v>
      </c>
      <c r="E125" s="297" t="s">
        <v>541</v>
      </c>
      <c r="F125" s="299" t="s">
        <v>1026</v>
      </c>
      <c r="G125" s="297">
        <v>133</v>
      </c>
      <c r="H125" s="298" t="s">
        <v>531</v>
      </c>
      <c r="I125" s="297">
        <v>126</v>
      </c>
      <c r="J125" s="297" t="s">
        <v>549</v>
      </c>
    </row>
    <row r="126" spans="1:10" ht="15" customHeight="1" x14ac:dyDescent="0.2">
      <c r="A126" s="299" t="s">
        <v>1104</v>
      </c>
      <c r="B126" s="297">
        <v>136</v>
      </c>
      <c r="C126" s="298" t="s">
        <v>536</v>
      </c>
      <c r="D126" s="297">
        <v>122</v>
      </c>
      <c r="E126" s="297" t="s">
        <v>538</v>
      </c>
      <c r="F126" s="299" t="s">
        <v>1023</v>
      </c>
      <c r="G126" s="297">
        <v>129</v>
      </c>
      <c r="H126" s="298" t="s">
        <v>542</v>
      </c>
      <c r="I126" s="297">
        <v>125</v>
      </c>
      <c r="J126" s="297" t="s">
        <v>535</v>
      </c>
    </row>
    <row r="127" spans="1:10" ht="15" customHeight="1" x14ac:dyDescent="0.2">
      <c r="A127" s="299" t="s">
        <v>1102</v>
      </c>
      <c r="B127" s="297">
        <v>132</v>
      </c>
      <c r="C127" s="298" t="s">
        <v>1010</v>
      </c>
      <c r="D127" s="297">
        <v>116</v>
      </c>
      <c r="E127" s="297" t="s">
        <v>534</v>
      </c>
      <c r="F127" s="299" t="s">
        <v>1085</v>
      </c>
      <c r="G127" s="297">
        <v>138</v>
      </c>
      <c r="H127" s="298" t="s">
        <v>549</v>
      </c>
      <c r="I127" s="297">
        <v>130</v>
      </c>
      <c r="J127" s="297" t="s">
        <v>526</v>
      </c>
    </row>
    <row r="128" spans="1:10" ht="15" customHeight="1" x14ac:dyDescent="0.2">
      <c r="A128" s="299" t="s">
        <v>1198</v>
      </c>
      <c r="B128" s="297">
        <v>138</v>
      </c>
      <c r="C128" s="298" t="s">
        <v>536</v>
      </c>
      <c r="D128" s="297">
        <v>131</v>
      </c>
      <c r="E128" s="297" t="s">
        <v>540</v>
      </c>
      <c r="F128" s="299" t="s">
        <v>1020</v>
      </c>
      <c r="G128" s="297">
        <v>130</v>
      </c>
      <c r="H128" s="298" t="s">
        <v>1010</v>
      </c>
      <c r="I128" s="297">
        <v>118</v>
      </c>
      <c r="J128" s="297" t="s">
        <v>549</v>
      </c>
    </row>
    <row r="129" spans="1:10" ht="15" customHeight="1" x14ac:dyDescent="0.2">
      <c r="A129" s="299" t="s">
        <v>1099</v>
      </c>
      <c r="B129" s="297">
        <v>128</v>
      </c>
      <c r="C129" s="298" t="s">
        <v>530</v>
      </c>
      <c r="D129" s="297">
        <v>122</v>
      </c>
      <c r="E129" s="297" t="s">
        <v>539</v>
      </c>
      <c r="F129" s="299" t="s">
        <v>511</v>
      </c>
      <c r="G129" s="297">
        <v>132</v>
      </c>
      <c r="H129" s="298" t="s">
        <v>540</v>
      </c>
      <c r="I129" s="297">
        <v>124</v>
      </c>
      <c r="J129" s="297" t="s">
        <v>549</v>
      </c>
    </row>
    <row r="130" spans="1:10" ht="15" customHeight="1" x14ac:dyDescent="0.2">
      <c r="A130" s="299" t="s">
        <v>1096</v>
      </c>
      <c r="B130" s="297">
        <v>132</v>
      </c>
      <c r="C130" s="298" t="s">
        <v>546</v>
      </c>
      <c r="D130" s="297">
        <v>126</v>
      </c>
      <c r="E130" s="297" t="s">
        <v>540</v>
      </c>
      <c r="F130" s="299" t="s">
        <v>1015</v>
      </c>
      <c r="G130" s="297">
        <v>131</v>
      </c>
      <c r="H130" s="298" t="s">
        <v>539</v>
      </c>
      <c r="I130" s="297">
        <v>126</v>
      </c>
      <c r="J130" s="297" t="s">
        <v>549</v>
      </c>
    </row>
    <row r="131" spans="1:10" ht="15" customHeight="1" x14ac:dyDescent="0.2">
      <c r="A131" s="299" t="s">
        <v>1093</v>
      </c>
      <c r="B131" s="297">
        <v>131</v>
      </c>
      <c r="C131" s="298" t="s">
        <v>530</v>
      </c>
      <c r="D131" s="297">
        <v>123</v>
      </c>
      <c r="E131" s="297" t="s">
        <v>535</v>
      </c>
      <c r="F131" s="299" t="s">
        <v>1008</v>
      </c>
      <c r="G131" s="297">
        <v>132</v>
      </c>
      <c r="H131" s="298" t="s">
        <v>530</v>
      </c>
      <c r="I131" s="297">
        <v>122</v>
      </c>
      <c r="J131" s="297" t="s">
        <v>535</v>
      </c>
    </row>
    <row r="132" spans="1:10" ht="15" customHeight="1" x14ac:dyDescent="0.2">
      <c r="A132" s="299" t="s">
        <v>1090</v>
      </c>
      <c r="B132" s="297" t="s">
        <v>1002</v>
      </c>
      <c r="C132" s="298" t="s">
        <v>1002</v>
      </c>
      <c r="D132" s="297" t="s">
        <v>1002</v>
      </c>
      <c r="E132" s="297" t="s">
        <v>1002</v>
      </c>
      <c r="F132" s="299" t="s">
        <v>1005</v>
      </c>
      <c r="G132" s="297">
        <v>140</v>
      </c>
      <c r="H132" s="298" t="s">
        <v>543</v>
      </c>
      <c r="I132" s="297">
        <v>124</v>
      </c>
      <c r="J132" s="297" t="s">
        <v>536</v>
      </c>
    </row>
    <row r="133" spans="1:10" ht="15" customHeight="1" x14ac:dyDescent="0.2">
      <c r="A133" s="299" t="s">
        <v>1089</v>
      </c>
      <c r="B133" s="297">
        <v>127</v>
      </c>
      <c r="C133" s="298" t="s">
        <v>530</v>
      </c>
      <c r="D133" s="297">
        <v>117</v>
      </c>
      <c r="E133" s="297" t="s">
        <v>535</v>
      </c>
      <c r="F133" s="299" t="s">
        <v>1012</v>
      </c>
      <c r="G133" s="297">
        <v>132</v>
      </c>
      <c r="H133" s="298" t="s">
        <v>547</v>
      </c>
      <c r="I133" s="297">
        <v>125</v>
      </c>
      <c r="J133" s="297" t="s">
        <v>536</v>
      </c>
    </row>
    <row r="134" spans="1:10" ht="15" customHeight="1" x14ac:dyDescent="0.2">
      <c r="A134" s="299" t="s">
        <v>1086</v>
      </c>
      <c r="B134" s="297">
        <v>126</v>
      </c>
      <c r="C134" s="298" t="s">
        <v>542</v>
      </c>
      <c r="D134" s="297">
        <v>121</v>
      </c>
      <c r="E134" s="297" t="s">
        <v>535</v>
      </c>
      <c r="F134" s="299" t="s">
        <v>1001</v>
      </c>
      <c r="G134" s="297">
        <v>134</v>
      </c>
      <c r="H134" s="298" t="s">
        <v>524</v>
      </c>
      <c r="I134" s="297">
        <v>128</v>
      </c>
      <c r="J134" s="297" t="s">
        <v>538</v>
      </c>
    </row>
    <row r="135" spans="1:10" ht="15" customHeight="1" x14ac:dyDescent="0.2">
      <c r="A135" s="299" t="s">
        <v>1083</v>
      </c>
      <c r="B135" s="297">
        <v>131</v>
      </c>
      <c r="C135" s="298" t="s">
        <v>530</v>
      </c>
      <c r="D135" s="297">
        <v>124</v>
      </c>
      <c r="E135" s="297" t="s">
        <v>537</v>
      </c>
      <c r="F135" s="299" t="s">
        <v>998</v>
      </c>
      <c r="G135" s="297">
        <v>133</v>
      </c>
      <c r="H135" s="298" t="s">
        <v>1010</v>
      </c>
      <c r="I135" s="297">
        <v>125</v>
      </c>
      <c r="J135" s="297" t="s">
        <v>526</v>
      </c>
    </row>
    <row r="136" spans="1:10" ht="15" customHeight="1" x14ac:dyDescent="0.2">
      <c r="A136" s="299" t="s">
        <v>1080</v>
      </c>
      <c r="B136" s="297">
        <v>132</v>
      </c>
      <c r="C136" s="298" t="s">
        <v>530</v>
      </c>
      <c r="D136" s="297">
        <v>124</v>
      </c>
      <c r="E136" s="297" t="s">
        <v>539</v>
      </c>
      <c r="F136" s="299" t="s">
        <v>996</v>
      </c>
      <c r="G136" s="297">
        <v>133</v>
      </c>
      <c r="H136" s="298" t="s">
        <v>542</v>
      </c>
      <c r="I136" s="297">
        <v>124</v>
      </c>
      <c r="J136" s="297" t="s">
        <v>535</v>
      </c>
    </row>
    <row r="137" spans="1:10" ht="15" customHeight="1" x14ac:dyDescent="0.2">
      <c r="A137" s="299" t="s">
        <v>512</v>
      </c>
      <c r="B137" s="297">
        <v>130</v>
      </c>
      <c r="C137" s="298" t="s">
        <v>538</v>
      </c>
      <c r="D137" s="297">
        <v>119</v>
      </c>
      <c r="E137" s="297" t="s">
        <v>549</v>
      </c>
      <c r="F137" s="299" t="s">
        <v>993</v>
      </c>
      <c r="G137" s="297">
        <v>125</v>
      </c>
      <c r="H137" s="298" t="s">
        <v>530</v>
      </c>
      <c r="I137" s="297">
        <v>119</v>
      </c>
      <c r="J137" s="297" t="s">
        <v>537</v>
      </c>
    </row>
    <row r="138" spans="1:10" ht="15" customHeight="1" x14ac:dyDescent="0.2">
      <c r="A138" s="299" t="s">
        <v>1197</v>
      </c>
      <c r="B138" s="297">
        <v>131</v>
      </c>
      <c r="C138" s="298" t="s">
        <v>539</v>
      </c>
      <c r="D138" s="297">
        <v>121</v>
      </c>
      <c r="E138" s="297" t="s">
        <v>549</v>
      </c>
      <c r="F138" s="299" t="s">
        <v>990</v>
      </c>
      <c r="G138" s="297">
        <v>126</v>
      </c>
      <c r="H138" s="298" t="s">
        <v>530</v>
      </c>
      <c r="I138" s="297">
        <v>120</v>
      </c>
      <c r="J138" s="297" t="s">
        <v>537</v>
      </c>
    </row>
    <row r="139" spans="1:10" ht="15" customHeight="1" x14ac:dyDescent="0.2">
      <c r="A139" s="299" t="s">
        <v>1075</v>
      </c>
      <c r="B139" s="297">
        <v>133</v>
      </c>
      <c r="C139" s="298" t="s">
        <v>548</v>
      </c>
      <c r="D139" s="297">
        <v>126</v>
      </c>
      <c r="E139" s="297" t="s">
        <v>537</v>
      </c>
      <c r="F139" s="299" t="s">
        <v>987</v>
      </c>
      <c r="G139" s="297">
        <v>131</v>
      </c>
      <c r="H139" s="298" t="s">
        <v>530</v>
      </c>
      <c r="I139" s="297">
        <v>124</v>
      </c>
      <c r="J139" s="297" t="s">
        <v>537</v>
      </c>
    </row>
    <row r="140" spans="1:10" ht="15" customHeight="1" x14ac:dyDescent="0.2">
      <c r="A140" s="299" t="s">
        <v>1072</v>
      </c>
      <c r="B140" s="297">
        <v>133</v>
      </c>
      <c r="C140" s="298" t="s">
        <v>532</v>
      </c>
      <c r="D140" s="297">
        <v>118</v>
      </c>
      <c r="E140" s="297" t="s">
        <v>549</v>
      </c>
      <c r="F140" s="299"/>
      <c r="G140" s="297"/>
      <c r="H140" s="298"/>
      <c r="I140" s="297"/>
      <c r="J140" s="297"/>
    </row>
    <row r="141" spans="1:10" ht="15" customHeight="1" x14ac:dyDescent="0.2">
      <c r="A141" s="299" t="s">
        <v>1069</v>
      </c>
      <c r="B141" s="297">
        <v>134</v>
      </c>
      <c r="C141" s="298" t="s">
        <v>536</v>
      </c>
      <c r="D141" s="297">
        <v>121</v>
      </c>
      <c r="E141" s="297" t="s">
        <v>535</v>
      </c>
      <c r="F141" s="299"/>
      <c r="G141" s="297"/>
      <c r="H141" s="298"/>
      <c r="I141" s="297"/>
      <c r="J141" s="297"/>
    </row>
    <row r="142" spans="1:10" ht="15" customHeight="1" x14ac:dyDescent="0.2">
      <c r="A142" s="299" t="s">
        <v>1107</v>
      </c>
      <c r="B142" s="297">
        <v>135</v>
      </c>
      <c r="C142" s="298" t="s">
        <v>530</v>
      </c>
      <c r="D142" s="297">
        <v>128</v>
      </c>
      <c r="E142" s="297" t="s">
        <v>541</v>
      </c>
      <c r="F142" s="299"/>
      <c r="G142" s="297"/>
      <c r="H142" s="298"/>
      <c r="I142" s="297"/>
      <c r="J142" s="297"/>
    </row>
    <row r="143" spans="1:10" ht="15" customHeight="1" x14ac:dyDescent="0.2">
      <c r="A143" s="299" t="s">
        <v>1066</v>
      </c>
      <c r="B143" s="297">
        <v>136</v>
      </c>
      <c r="C143" s="298" t="s">
        <v>529</v>
      </c>
      <c r="D143" s="297">
        <v>128</v>
      </c>
      <c r="E143" s="297" t="s">
        <v>549</v>
      </c>
      <c r="F143" s="299"/>
      <c r="G143" s="297"/>
      <c r="H143" s="298"/>
      <c r="I143" s="297"/>
      <c r="J143" s="297"/>
    </row>
    <row r="144" spans="1:10" ht="15" customHeight="1" x14ac:dyDescent="0.2">
      <c r="A144" s="299" t="s">
        <v>1063</v>
      </c>
      <c r="B144" s="297">
        <v>135</v>
      </c>
      <c r="C144" s="298" t="s">
        <v>525</v>
      </c>
      <c r="D144" s="297">
        <v>122</v>
      </c>
      <c r="E144" s="297" t="s">
        <v>541</v>
      </c>
      <c r="F144" s="299"/>
      <c r="G144" s="297"/>
      <c r="H144" s="298"/>
      <c r="I144" s="297"/>
      <c r="J144" s="297"/>
    </row>
    <row r="145" spans="1:10" ht="15" customHeight="1" x14ac:dyDescent="0.2">
      <c r="A145" s="299" t="s">
        <v>1060</v>
      </c>
      <c r="B145" s="297">
        <v>134</v>
      </c>
      <c r="C145" s="298" t="s">
        <v>539</v>
      </c>
      <c r="D145" s="297">
        <v>126</v>
      </c>
      <c r="E145" s="297" t="s">
        <v>526</v>
      </c>
      <c r="F145" s="299"/>
      <c r="G145" s="297"/>
      <c r="H145" s="298"/>
      <c r="I145" s="297"/>
      <c r="J145" s="297"/>
    </row>
    <row r="146" spans="1:10" ht="15" customHeight="1" x14ac:dyDescent="0.2">
      <c r="A146" s="299" t="s">
        <v>1057</v>
      </c>
      <c r="B146" s="297">
        <v>130</v>
      </c>
      <c r="C146" s="298" t="s">
        <v>530</v>
      </c>
      <c r="D146" s="297">
        <v>123</v>
      </c>
      <c r="E146" s="297" t="s">
        <v>537</v>
      </c>
      <c r="F146" s="299"/>
      <c r="G146" s="297"/>
      <c r="H146" s="298"/>
      <c r="I146" s="297"/>
      <c r="J146" s="297"/>
    </row>
    <row r="147" spans="1:10" ht="15" customHeight="1" x14ac:dyDescent="0.2">
      <c r="A147" s="299" t="s">
        <v>1054</v>
      </c>
      <c r="B147" s="297">
        <v>132</v>
      </c>
      <c r="C147" s="298" t="s">
        <v>524</v>
      </c>
      <c r="D147" s="297">
        <v>120</v>
      </c>
      <c r="E147" s="297" t="s">
        <v>536</v>
      </c>
      <c r="F147" s="299"/>
      <c r="G147" s="297"/>
      <c r="H147" s="298"/>
      <c r="I147" s="297"/>
      <c r="J147" s="297"/>
    </row>
    <row r="148" spans="1:10" ht="15" customHeight="1" x14ac:dyDescent="0.2">
      <c r="A148" s="299" t="s">
        <v>1048</v>
      </c>
      <c r="B148" s="297">
        <v>129</v>
      </c>
      <c r="C148" s="298" t="s">
        <v>530</v>
      </c>
      <c r="D148" s="297">
        <v>120</v>
      </c>
      <c r="E148" s="297" t="s">
        <v>537</v>
      </c>
      <c r="F148" s="299"/>
      <c r="G148" s="297"/>
      <c r="H148" s="298"/>
      <c r="I148" s="297"/>
      <c r="J148" s="297"/>
    </row>
    <row r="149" spans="1:10" ht="15" customHeight="1" x14ac:dyDescent="0.2">
      <c r="A149" s="299" t="s">
        <v>1045</v>
      </c>
      <c r="B149" s="297">
        <v>132</v>
      </c>
      <c r="C149" s="298" t="s">
        <v>530</v>
      </c>
      <c r="D149" s="297">
        <v>125</v>
      </c>
      <c r="E149" s="297" t="s">
        <v>549</v>
      </c>
      <c r="F149" s="299"/>
      <c r="G149" s="297"/>
      <c r="H149" s="298"/>
      <c r="I149" s="297"/>
      <c r="J149" s="297"/>
    </row>
    <row r="151" spans="1:10" ht="33.75" customHeight="1" x14ac:dyDescent="0.2"/>
    <row r="152" spans="1:10" ht="47.25" customHeight="1" x14ac:dyDescent="0.2"/>
    <row r="153" spans="1:10" ht="18" customHeight="1" x14ac:dyDescent="0.25">
      <c r="B153" s="296" t="s">
        <v>1196</v>
      </c>
      <c r="C153" s="294"/>
      <c r="D153" s="294"/>
      <c r="E153" s="294"/>
      <c r="F153" s="294"/>
      <c r="G153" s="296" t="s">
        <v>1195</v>
      </c>
      <c r="H153" s="295"/>
      <c r="I153" s="294"/>
      <c r="J153" s="294"/>
    </row>
    <row r="154" spans="1:10" ht="18" customHeight="1" x14ac:dyDescent="0.25">
      <c r="B154" s="295" t="s">
        <v>522</v>
      </c>
      <c r="C154" s="294"/>
      <c r="D154" s="294"/>
      <c r="E154" s="294"/>
      <c r="F154" s="294"/>
      <c r="G154" s="295" t="s">
        <v>522</v>
      </c>
      <c r="H154" s="294"/>
      <c r="I154" s="294"/>
      <c r="J154" s="293"/>
    </row>
  </sheetData>
  <mergeCells count="4">
    <mergeCell ref="B5:C5"/>
    <mergeCell ref="A2:J2"/>
    <mergeCell ref="A3:J3"/>
    <mergeCell ref="A4:J4"/>
  </mergeCells>
  <pageMargins left="0.7" right="0.7" top="0.57499999999999996" bottom="0.75" header="0.3" footer="0.3"/>
  <pageSetup paperSize="9" scale="47" fitToHeight="0" orientation="portrait" r:id="rId1"/>
  <headerFooter differentFirst="1">
    <oddHeader>&amp;R&amp;"Arial,Bold"&amp;14 QF-LDC-10
page &amp;P of 2</oddHeader>
    <firstHeader>&amp;R&amp;"Arial,Bold"&amp;14 QF-LDC-10
page &amp;P of 2</firstHeader>
  </headerFooter>
  <rowBreaks count="1" manualBreakCount="1"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Forecast</vt:lpstr>
      <vt:lpstr>GenLog</vt:lpstr>
      <vt:lpstr>P1</vt:lpstr>
      <vt:lpstr>P2</vt:lpstr>
      <vt:lpstr>P3</vt:lpstr>
      <vt:lpstr>P4</vt:lpstr>
      <vt:lpstr>L-Curve</vt:lpstr>
      <vt:lpstr>En-Curve</vt:lpstr>
      <vt:lpstr>Voltage</vt:lpstr>
      <vt:lpstr>'En-Curve'!Print_Area</vt:lpstr>
      <vt:lpstr>Forecast!Print_Area</vt:lpstr>
      <vt:lpstr>GenLog!Print_Area</vt:lpstr>
      <vt:lpstr>'L-Curve'!Print_Area</vt:lpstr>
      <vt:lpstr>'P1'!Print_Area</vt:lpstr>
      <vt:lpstr>'P2'!Print_Area</vt:lpstr>
      <vt:lpstr>'P3'!Print_Area</vt:lpstr>
      <vt:lpstr>'P4'!Print_Area</vt:lpstr>
      <vt:lpstr>Forecast!Print_Titles</vt:lpstr>
      <vt:lpstr>GenLog!Print_Titles</vt:lpstr>
      <vt:lpstr>'P1'!Print_Titles</vt:lpstr>
      <vt:lpstr>'P2'!Print_Titles</vt:lpstr>
      <vt:lpstr>Voltage!Print_Titles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 nldc</cp:lastModifiedBy>
  <cp:lastPrinted>2025-05-12T03:23:14Z</cp:lastPrinted>
  <dcterms:created xsi:type="dcterms:W3CDTF">2006-09-16T00:00:00Z</dcterms:created>
  <dcterms:modified xsi:type="dcterms:W3CDTF">2025-05-12T04:39:45Z</dcterms:modified>
</cp:coreProperties>
</file>